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4D1C537B-E38A-612A-F078-A93A15B4B7F4}"/>
  <workbookPr hidePivotFieldList="1" defaultThemeVersion="166925"/>
  <mc:AlternateContent xmlns:mc="http://schemas.openxmlformats.org/markup-compatibility/2006">
    <mc:Choice Requires="x15">
      <x15ac:absPath xmlns:x15ac="http://schemas.microsoft.com/office/spreadsheetml/2010/11/ac" url="C:\Users\Admin\Desktop\All Modules\Excel\excel project\"/>
    </mc:Choice>
  </mc:AlternateContent>
  <xr:revisionPtr revIDLastSave="0" documentId="13_ncr:1_{F931CD4E-987A-49FC-9843-49122F6AF376}" xr6:coauthVersionLast="47" xr6:coauthVersionMax="47" xr10:uidLastSave="{00000000-0000-0000-0000-000000000000}"/>
  <workbookProtection workbookAlgorithmName="SHA-512" workbookHashValue="noVC81DqYcBLf6Dc7fWX3pD02TJXJsNdyHTm/mM7aO3SHO9td1TYcbRTL5zMCv0LlP91tb22wg6LeN5Ci/DfeQ==" workbookSaltValue="rXoqbN9teNE2SvlRuokv/g==" workbookSpinCount="100000" lockStructure="1"/>
  <bookViews>
    <workbookView xWindow="-120" yWindow="-120" windowWidth="20730" windowHeight="11160" firstSheet="8" activeTab="8" xr2:uid="{00000000-000D-0000-FFFF-FFFF00000000}"/>
  </bookViews>
  <sheets>
    <sheet name="Salary Data" sheetId="1" r:id="rId1"/>
    <sheet name="1" sheetId="2" r:id="rId2"/>
    <sheet name="2" sheetId="3" r:id="rId3"/>
    <sheet name="3" sheetId="4" r:id="rId4"/>
    <sheet name="4" sheetId="5" r:id="rId5"/>
    <sheet name="5" sheetId="6" r:id="rId6"/>
    <sheet name="6" sheetId="7" r:id="rId7"/>
    <sheet name="Dashboard" sheetId="8" r:id="rId8"/>
    <sheet name="Formula Refrencing" sheetId="9" r:id="rId9"/>
    <sheet name="Name Ranges" sheetId="10" r:id="rId10"/>
    <sheet name="Date &amp; Text Function" sheetId="11" r:id="rId11"/>
    <sheet name="References Function" sheetId="13" r:id="rId12"/>
    <sheet name="Logical Functions" sheetId="12" r:id="rId13"/>
    <sheet name="Data Validation" sheetId="14" r:id="rId14"/>
    <sheet name="Protecting Sheet" sheetId="15" r:id="rId15"/>
    <sheet name="Macros" sheetId="16" r:id="rId16"/>
    <sheet name="Macros 2" sheetId="18" r:id="rId17"/>
    <sheet name="Macros 3" sheetId="19" r:id="rId18"/>
  </sheets>
  <definedNames>
    <definedName name="_xlnm._FilterDatabase" localSheetId="0" hidden="1">'Salary Data'!$B$3:$I$3</definedName>
    <definedName name="Age">'Name Ranges'!$C$3:$C$18</definedName>
    <definedName name="Age_Group">'Name Ranges'!$D$3:$D$18</definedName>
    <definedName name="Education_Level">'Name Ranges'!$F$3:$F$18</definedName>
    <definedName name="EMP.ID">'Name Ranges'!$B$3:$B$18</definedName>
    <definedName name="Gender">'Name Ranges'!$E$3:$E$18</definedName>
    <definedName name="Job_Title">'Name Ranges'!$G$3:$G$18</definedName>
    <definedName name="Level">'Name Ranges'!$I$4:$I$18</definedName>
    <definedName name="Salary">'Name Ranges'!$J$3:$J$18</definedName>
    <definedName name="Slicer_Age_Group">#N/A</definedName>
    <definedName name="Slicer_Gender">#N/A</definedName>
    <definedName name="Slicer_Level">#N/A</definedName>
    <definedName name="Years_of_Experience">'Name Ranges'!$H$3:$H$18</definedName>
  </definedNames>
  <calcPr calcId="191029"/>
  <pivotCaches>
    <pivotCache cacheId="0" r:id="rId19"/>
  </pivotCaches>
  <extLst>
    <ext xmlns:x14="http://schemas.microsoft.com/office/spreadsheetml/2009/9/main" uri="{BBE1A952-AA13-448e-AADC-164F8A28A991}">
      <x14:slicerCaches>
        <x14:slicerCache r:id="rId20"/>
        <x14:slicerCache r:id="rId21"/>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14" i="9" l="1"/>
  <c r="E14" i="9"/>
  <c r="I13" i="9"/>
  <c r="E13" i="9"/>
  <c r="I12" i="9"/>
  <c r="E12" i="9"/>
  <c r="I11" i="9"/>
  <c r="E11" i="9"/>
  <c r="I10" i="9"/>
  <c r="E10" i="9"/>
  <c r="I9" i="9"/>
  <c r="E9" i="9"/>
  <c r="I8" i="9"/>
  <c r="E8" i="9"/>
  <c r="H5" i="19"/>
  <c r="H6" i="19"/>
  <c r="H7" i="19"/>
  <c r="H4" i="19"/>
  <c r="G5" i="19"/>
  <c r="G6" i="19"/>
  <c r="G7" i="19"/>
  <c r="G4" i="19"/>
  <c r="H5" i="18"/>
  <c r="H6" i="18"/>
  <c r="H7" i="18"/>
  <c r="H4" i="18"/>
  <c r="G5" i="18"/>
  <c r="G6" i="18"/>
  <c r="G7" i="18"/>
  <c r="G4" i="18"/>
  <c r="H5" i="16"/>
  <c r="H6" i="16"/>
  <c r="H7" i="16"/>
  <c r="H4" i="16"/>
  <c r="G5" i="16"/>
  <c r="G6" i="16"/>
  <c r="G7" i="16"/>
  <c r="G4" i="16"/>
  <c r="J18" i="10"/>
  <c r="I18" i="10"/>
  <c r="D18" i="10"/>
  <c r="J17" i="10"/>
  <c r="I17" i="10"/>
  <c r="D17" i="10"/>
  <c r="J16" i="10"/>
  <c r="I16" i="10"/>
  <c r="D16" i="10"/>
  <c r="J15" i="10"/>
  <c r="I15" i="10"/>
  <c r="D15" i="10"/>
  <c r="J14" i="10"/>
  <c r="I14" i="10"/>
  <c r="D14" i="10"/>
  <c r="J13" i="10"/>
  <c r="I13" i="10"/>
  <c r="D13" i="10"/>
  <c r="J12" i="10"/>
  <c r="I12" i="10"/>
  <c r="D12" i="10"/>
  <c r="J11" i="10"/>
  <c r="I11" i="10"/>
  <c r="D11" i="10"/>
  <c r="J10" i="10"/>
  <c r="I10" i="10"/>
  <c r="D10" i="10"/>
  <c r="J9" i="10"/>
  <c r="I9" i="10"/>
  <c r="D9" i="10"/>
  <c r="J8" i="10"/>
  <c r="I8" i="10"/>
  <c r="D8" i="10"/>
  <c r="J7" i="10"/>
  <c r="I7" i="10"/>
  <c r="D7" i="10"/>
  <c r="J6" i="10"/>
  <c r="I6" i="10"/>
  <c r="D6" i="10"/>
  <c r="J5" i="10"/>
  <c r="I5" i="10"/>
  <c r="D5" i="10"/>
  <c r="J4" i="10"/>
  <c r="I4" i="10"/>
  <c r="D4" i="10"/>
  <c r="L20" i="13"/>
  <c r="L17" i="13"/>
  <c r="L9" i="13"/>
  <c r="L6" i="13"/>
  <c r="I11" i="13"/>
  <c r="H11" i="13"/>
  <c r="C11" i="13"/>
  <c r="I10" i="13"/>
  <c r="H10" i="13"/>
  <c r="C10" i="13"/>
  <c r="I9" i="13"/>
  <c r="H9" i="13"/>
  <c r="C9" i="13"/>
  <c r="I8" i="13"/>
  <c r="H8" i="13"/>
  <c r="C8" i="13"/>
  <c r="I7" i="13"/>
  <c r="H7" i="13"/>
  <c r="C7" i="13"/>
  <c r="I6" i="13"/>
  <c r="H6" i="13"/>
  <c r="C6" i="13"/>
  <c r="I5" i="13"/>
  <c r="H5" i="13"/>
  <c r="C5" i="13"/>
  <c r="I4" i="13"/>
  <c r="H4" i="13"/>
  <c r="C4" i="13"/>
  <c r="W11" i="12" l="1"/>
  <c r="U7" i="12"/>
  <c r="S8" i="12"/>
  <c r="S9" i="12"/>
  <c r="S10" i="12"/>
  <c r="S11" i="12"/>
  <c r="S7" i="12"/>
  <c r="N7" i="12"/>
  <c r="N8" i="12"/>
  <c r="N9" i="12"/>
  <c r="N10" i="12"/>
  <c r="N11" i="12"/>
  <c r="N12" i="12"/>
  <c r="N13" i="12"/>
  <c r="N14" i="12"/>
  <c r="N15" i="12"/>
  <c r="N16" i="12"/>
  <c r="N17" i="12"/>
  <c r="N18" i="12"/>
  <c r="N19" i="12"/>
  <c r="N20" i="12"/>
  <c r="N21" i="12"/>
  <c r="N22" i="12"/>
  <c r="N23" i="12"/>
  <c r="N24" i="12"/>
  <c r="N25" i="12"/>
  <c r="N26" i="12"/>
  <c r="N27" i="12"/>
  <c r="N28" i="12"/>
  <c r="N29" i="12"/>
  <c r="N30" i="12"/>
  <c r="N31" i="12"/>
  <c r="N32" i="12"/>
  <c r="N33" i="12"/>
  <c r="N34" i="12"/>
  <c r="N35" i="12"/>
  <c r="N36" i="12"/>
  <c r="N37" i="12"/>
  <c r="N38" i="12"/>
  <c r="N39" i="12"/>
  <c r="N40" i="12"/>
  <c r="N41" i="12"/>
  <c r="N42" i="12"/>
  <c r="N43" i="12"/>
  <c r="N44" i="12"/>
  <c r="N45" i="12"/>
  <c r="N46" i="12"/>
  <c r="N47" i="12"/>
  <c r="N48" i="12"/>
  <c r="N49" i="12"/>
  <c r="N50" i="12"/>
  <c r="N51" i="12"/>
  <c r="N52" i="12"/>
  <c r="N53" i="12"/>
  <c r="N54" i="12"/>
  <c r="N55" i="12"/>
  <c r="N56" i="12"/>
  <c r="N57" i="12"/>
  <c r="N58" i="12"/>
  <c r="N59" i="12"/>
  <c r="N60"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91" i="12"/>
  <c r="N92" i="12"/>
  <c r="N93"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N175" i="12"/>
  <c r="N176" i="12"/>
  <c r="N177" i="12"/>
  <c r="N178" i="12"/>
  <c r="N179" i="12"/>
  <c r="N180" i="12"/>
  <c r="N181" i="12"/>
  <c r="N182" i="12"/>
  <c r="N183" i="12"/>
  <c r="N184" i="12"/>
  <c r="N185" i="12"/>
  <c r="N186" i="12"/>
  <c r="N187" i="12"/>
  <c r="N188" i="12"/>
  <c r="N189" i="12"/>
  <c r="N190" i="12"/>
  <c r="N191" i="12"/>
  <c r="N192" i="12"/>
  <c r="N193" i="12"/>
  <c r="N194" i="12"/>
  <c r="N195" i="12"/>
  <c r="N196" i="12"/>
  <c r="N197" i="12"/>
  <c r="N198" i="12"/>
  <c r="N199" i="12"/>
  <c r="N200" i="12"/>
  <c r="N201" i="12"/>
  <c r="N202" i="12"/>
  <c r="N203" i="12"/>
  <c r="N204" i="12"/>
  <c r="N205" i="12"/>
  <c r="N206" i="12"/>
  <c r="N207" i="12"/>
  <c r="N208" i="12"/>
  <c r="N209" i="12"/>
  <c r="N210" i="12"/>
  <c r="N211" i="12"/>
  <c r="N212" i="12"/>
  <c r="N213" i="12"/>
  <c r="N214" i="12"/>
  <c r="N215" i="12"/>
  <c r="N216" i="12"/>
  <c r="N217" i="12"/>
  <c r="N218" i="12"/>
  <c r="N219" i="12"/>
  <c r="N220" i="12"/>
  <c r="N221" i="12"/>
  <c r="N222" i="12"/>
  <c r="N223" i="12"/>
  <c r="N224" i="12"/>
  <c r="N225" i="12"/>
  <c r="N226" i="12"/>
  <c r="N227" i="12"/>
  <c r="N228" i="12"/>
  <c r="N229" i="12"/>
  <c r="N230" i="12"/>
  <c r="N231" i="12"/>
  <c r="N232" i="12"/>
  <c r="N233" i="12"/>
  <c r="N234" i="12"/>
  <c r="N235" i="12"/>
  <c r="N236" i="12"/>
  <c r="N237" i="12"/>
  <c r="N238" i="12"/>
  <c r="N239" i="12"/>
  <c r="N240" i="12"/>
  <c r="N241" i="12"/>
  <c r="N242" i="12"/>
  <c r="N243" i="12"/>
  <c r="N244" i="12"/>
  <c r="N245"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N291" i="12"/>
  <c r="N292" i="12"/>
  <c r="N293" i="12"/>
  <c r="N294" i="12"/>
  <c r="N295" i="12"/>
  <c r="N296" i="12"/>
  <c r="N297" i="12"/>
  <c r="N298" i="12"/>
  <c r="N299" i="12"/>
  <c r="N300" i="12"/>
  <c r="N301" i="12"/>
  <c r="N302" i="12"/>
  <c r="N303" i="12"/>
  <c r="N304" i="12"/>
  <c r="N305" i="12"/>
  <c r="N306" i="12"/>
  <c r="N307" i="12"/>
  <c r="N308" i="12"/>
  <c r="N309" i="12"/>
  <c r="N310" i="12"/>
  <c r="N311" i="12"/>
  <c r="N312" i="12"/>
  <c r="N313" i="12"/>
  <c r="N314" i="12"/>
  <c r="N315" i="12"/>
  <c r="N316" i="12"/>
  <c r="N317" i="12"/>
  <c r="N318" i="12"/>
  <c r="N319" i="12"/>
  <c r="N320" i="12"/>
  <c r="N321" i="12"/>
  <c r="N322" i="12"/>
  <c r="N323" i="12"/>
  <c r="N324" i="12"/>
  <c r="N325" i="12"/>
  <c r="N326" i="12"/>
  <c r="N327" i="12"/>
  <c r="N328" i="12"/>
  <c r="N329" i="12"/>
  <c r="N330" i="12"/>
  <c r="N331" i="12"/>
  <c r="N332" i="12"/>
  <c r="N333" i="12"/>
  <c r="N334" i="12"/>
  <c r="N335" i="12"/>
  <c r="N336" i="12"/>
  <c r="N337" i="12"/>
  <c r="N338" i="12"/>
  <c r="N339" i="12"/>
  <c r="N340" i="12"/>
  <c r="N341" i="12"/>
  <c r="N342" i="12"/>
  <c r="N343" i="12"/>
  <c r="N344" i="12"/>
  <c r="N345" i="12"/>
  <c r="N346" i="12"/>
  <c r="N347" i="12"/>
  <c r="N348" i="12"/>
  <c r="N349" i="12"/>
  <c r="N350" i="12"/>
  <c r="N351" i="12"/>
  <c r="N352" i="12"/>
  <c r="N353" i="12"/>
  <c r="N354" i="12"/>
  <c r="N355" i="12"/>
  <c r="N356" i="12"/>
  <c r="N357" i="12"/>
  <c r="N358" i="12"/>
  <c r="N359" i="12"/>
  <c r="N360" i="12"/>
  <c r="N361" i="12"/>
  <c r="N362" i="12"/>
  <c r="N363" i="12"/>
  <c r="N364" i="12"/>
  <c r="N365" i="12"/>
  <c r="N366" i="12"/>
  <c r="N367" i="12"/>
  <c r="N368" i="12"/>
  <c r="N369" i="12"/>
  <c r="N370" i="12"/>
  <c r="N371" i="12"/>
  <c r="N372" i="12"/>
  <c r="N373" i="12"/>
  <c r="N374" i="12"/>
  <c r="N375" i="12"/>
  <c r="N376" i="12"/>
  <c r="N377" i="12"/>
  <c r="N378" i="12"/>
  <c r="N6" i="12"/>
  <c r="L316" i="12"/>
  <c r="L348" i="12"/>
  <c r="K133" i="12"/>
  <c r="I378" i="12"/>
  <c r="J378" i="12" s="1"/>
  <c r="H378" i="12"/>
  <c r="K378" i="12" s="1"/>
  <c r="C378" i="12"/>
  <c r="I377" i="12"/>
  <c r="J377" i="12" s="1"/>
  <c r="H377" i="12"/>
  <c r="K377" i="12" s="1"/>
  <c r="C377" i="12"/>
  <c r="I376" i="12"/>
  <c r="J376" i="12" s="1"/>
  <c r="H376" i="12"/>
  <c r="K376" i="12" s="1"/>
  <c r="C376" i="12"/>
  <c r="I375" i="12"/>
  <c r="J375" i="12" s="1"/>
  <c r="H375" i="12"/>
  <c r="K375" i="12" s="1"/>
  <c r="C375" i="12"/>
  <c r="I374" i="12"/>
  <c r="J374" i="12" s="1"/>
  <c r="H374" i="12"/>
  <c r="K374" i="12" s="1"/>
  <c r="C374" i="12"/>
  <c r="I373" i="12"/>
  <c r="J373" i="12" s="1"/>
  <c r="H373" i="12"/>
  <c r="K373" i="12" s="1"/>
  <c r="C373" i="12"/>
  <c r="I372" i="12"/>
  <c r="J372" i="12" s="1"/>
  <c r="H372" i="12"/>
  <c r="K372" i="12" s="1"/>
  <c r="C372" i="12"/>
  <c r="I371" i="12"/>
  <c r="J371" i="12" s="1"/>
  <c r="H371" i="12"/>
  <c r="K371" i="12" s="1"/>
  <c r="C371" i="12"/>
  <c r="I370" i="12"/>
  <c r="J370" i="12" s="1"/>
  <c r="H370" i="12"/>
  <c r="K370" i="12" s="1"/>
  <c r="C370" i="12"/>
  <c r="I369" i="12"/>
  <c r="J369" i="12" s="1"/>
  <c r="H369" i="12"/>
  <c r="K369" i="12" s="1"/>
  <c r="C369" i="12"/>
  <c r="L369" i="12" s="1"/>
  <c r="I368" i="12"/>
  <c r="J368" i="12" s="1"/>
  <c r="H368" i="12"/>
  <c r="K368" i="12" s="1"/>
  <c r="C368" i="12"/>
  <c r="I367" i="12"/>
  <c r="J367" i="12" s="1"/>
  <c r="H367" i="12"/>
  <c r="K367" i="12" s="1"/>
  <c r="C367" i="12"/>
  <c r="I366" i="12"/>
  <c r="J366" i="12" s="1"/>
  <c r="H366" i="12"/>
  <c r="K366" i="12" s="1"/>
  <c r="C366" i="12"/>
  <c r="I365" i="12"/>
  <c r="J365" i="12" s="1"/>
  <c r="H365" i="12"/>
  <c r="K365" i="12" s="1"/>
  <c r="C365" i="12"/>
  <c r="I364" i="12"/>
  <c r="J364" i="12" s="1"/>
  <c r="H364" i="12"/>
  <c r="L364" i="12" s="1"/>
  <c r="C364" i="12"/>
  <c r="I363" i="12"/>
  <c r="J363" i="12" s="1"/>
  <c r="H363" i="12"/>
  <c r="K363" i="12" s="1"/>
  <c r="C363" i="12"/>
  <c r="I362" i="12"/>
  <c r="J362" i="12" s="1"/>
  <c r="H362" i="12"/>
  <c r="K362" i="12" s="1"/>
  <c r="C362" i="12"/>
  <c r="I361" i="12"/>
  <c r="J361" i="12" s="1"/>
  <c r="H361" i="12"/>
  <c r="K361" i="12" s="1"/>
  <c r="C361" i="12"/>
  <c r="L361" i="12" s="1"/>
  <c r="I360" i="12"/>
  <c r="J360" i="12" s="1"/>
  <c r="H360" i="12"/>
  <c r="K360" i="12" s="1"/>
  <c r="C360" i="12"/>
  <c r="I359" i="12"/>
  <c r="J359" i="12" s="1"/>
  <c r="H359" i="12"/>
  <c r="K359" i="12" s="1"/>
  <c r="C359" i="12"/>
  <c r="I358" i="12"/>
  <c r="J358" i="12" s="1"/>
  <c r="H358" i="12"/>
  <c r="K358" i="12" s="1"/>
  <c r="C358" i="12"/>
  <c r="I357" i="12"/>
  <c r="J357" i="12" s="1"/>
  <c r="H357" i="12"/>
  <c r="K357" i="12" s="1"/>
  <c r="C357" i="12"/>
  <c r="L357" i="12" s="1"/>
  <c r="I356" i="12"/>
  <c r="J356" i="12" s="1"/>
  <c r="H356" i="12"/>
  <c r="K356" i="12" s="1"/>
  <c r="C356" i="12"/>
  <c r="I355" i="12"/>
  <c r="J355" i="12" s="1"/>
  <c r="H355" i="12"/>
  <c r="K355" i="12" s="1"/>
  <c r="C355" i="12"/>
  <c r="I354" i="12"/>
  <c r="J354" i="12" s="1"/>
  <c r="H354" i="12"/>
  <c r="K354" i="12" s="1"/>
  <c r="C354" i="12"/>
  <c r="I353" i="12"/>
  <c r="J353" i="12" s="1"/>
  <c r="H353" i="12"/>
  <c r="K353" i="12" s="1"/>
  <c r="C353" i="12"/>
  <c r="I352" i="12"/>
  <c r="J352" i="12" s="1"/>
  <c r="H352" i="12"/>
  <c r="K352" i="12" s="1"/>
  <c r="C352" i="12"/>
  <c r="I351" i="12"/>
  <c r="J351" i="12" s="1"/>
  <c r="H351" i="12"/>
  <c r="K351" i="12" s="1"/>
  <c r="C351" i="12"/>
  <c r="I350" i="12"/>
  <c r="J350" i="12" s="1"/>
  <c r="H350" i="12"/>
  <c r="K350" i="12" s="1"/>
  <c r="C350" i="12"/>
  <c r="I349" i="12"/>
  <c r="J349" i="12" s="1"/>
  <c r="H349" i="12"/>
  <c r="K349" i="12" s="1"/>
  <c r="C349" i="12"/>
  <c r="L349" i="12" s="1"/>
  <c r="I348" i="12"/>
  <c r="J348" i="12" s="1"/>
  <c r="H348" i="12"/>
  <c r="K348" i="12" s="1"/>
  <c r="C348" i="12"/>
  <c r="I347" i="12"/>
  <c r="J347" i="12" s="1"/>
  <c r="H347" i="12"/>
  <c r="K347" i="12" s="1"/>
  <c r="C347" i="12"/>
  <c r="I346" i="12"/>
  <c r="J346" i="12" s="1"/>
  <c r="H346" i="12"/>
  <c r="K346" i="12" s="1"/>
  <c r="C346" i="12"/>
  <c r="I345" i="12"/>
  <c r="J345" i="12" s="1"/>
  <c r="H345" i="12"/>
  <c r="K345" i="12" s="1"/>
  <c r="C345" i="12"/>
  <c r="I344" i="12"/>
  <c r="J344" i="12" s="1"/>
  <c r="H344" i="12"/>
  <c r="K344" i="12" s="1"/>
  <c r="C344" i="12"/>
  <c r="I343" i="12"/>
  <c r="J343" i="12" s="1"/>
  <c r="H343" i="12"/>
  <c r="K343" i="12" s="1"/>
  <c r="C343" i="12"/>
  <c r="I342" i="12"/>
  <c r="J342" i="12" s="1"/>
  <c r="H342" i="12"/>
  <c r="K342" i="12" s="1"/>
  <c r="C342" i="12"/>
  <c r="I341" i="12"/>
  <c r="J341" i="12" s="1"/>
  <c r="H341" i="12"/>
  <c r="K341" i="12" s="1"/>
  <c r="C341" i="12"/>
  <c r="I340" i="12"/>
  <c r="J340" i="12" s="1"/>
  <c r="H340" i="12"/>
  <c r="K340" i="12" s="1"/>
  <c r="C340" i="12"/>
  <c r="I339" i="12"/>
  <c r="J339" i="12" s="1"/>
  <c r="H339" i="12"/>
  <c r="K339" i="12" s="1"/>
  <c r="C339" i="12"/>
  <c r="I338" i="12"/>
  <c r="J338" i="12" s="1"/>
  <c r="H338" i="12"/>
  <c r="K338" i="12" s="1"/>
  <c r="C338" i="12"/>
  <c r="I337" i="12"/>
  <c r="J337" i="12" s="1"/>
  <c r="H337" i="12"/>
  <c r="K337" i="12" s="1"/>
  <c r="C337" i="12"/>
  <c r="L337" i="12" s="1"/>
  <c r="I336" i="12"/>
  <c r="J336" i="12" s="1"/>
  <c r="H336" i="12"/>
  <c r="K336" i="12" s="1"/>
  <c r="C336" i="12"/>
  <c r="I335" i="12"/>
  <c r="J335" i="12" s="1"/>
  <c r="H335" i="12"/>
  <c r="K335" i="12" s="1"/>
  <c r="C335" i="12"/>
  <c r="I334" i="12"/>
  <c r="J334" i="12" s="1"/>
  <c r="H334" i="12"/>
  <c r="K334" i="12" s="1"/>
  <c r="C334" i="12"/>
  <c r="I333" i="12"/>
  <c r="J333" i="12" s="1"/>
  <c r="H333" i="12"/>
  <c r="K333" i="12" s="1"/>
  <c r="C333" i="12"/>
  <c r="I332" i="12"/>
  <c r="J332" i="12" s="1"/>
  <c r="H332" i="12"/>
  <c r="K332" i="12" s="1"/>
  <c r="C332" i="12"/>
  <c r="I331" i="12"/>
  <c r="J331" i="12" s="1"/>
  <c r="H331" i="12"/>
  <c r="K331" i="12" s="1"/>
  <c r="C331" i="12"/>
  <c r="I330" i="12"/>
  <c r="J330" i="12" s="1"/>
  <c r="H330" i="12"/>
  <c r="K330" i="12" s="1"/>
  <c r="C330" i="12"/>
  <c r="I329" i="12"/>
  <c r="J329" i="12" s="1"/>
  <c r="H329" i="12"/>
  <c r="K329" i="12" s="1"/>
  <c r="C329" i="12"/>
  <c r="I328" i="12"/>
  <c r="J328" i="12" s="1"/>
  <c r="H328" i="12"/>
  <c r="K328" i="12" s="1"/>
  <c r="C328" i="12"/>
  <c r="I327" i="12"/>
  <c r="J327" i="12" s="1"/>
  <c r="H327" i="12"/>
  <c r="K327" i="12" s="1"/>
  <c r="C327" i="12"/>
  <c r="I326" i="12"/>
  <c r="J326" i="12" s="1"/>
  <c r="H326" i="12"/>
  <c r="K326" i="12" s="1"/>
  <c r="C326" i="12"/>
  <c r="I325" i="12"/>
  <c r="J325" i="12" s="1"/>
  <c r="H325" i="12"/>
  <c r="K325" i="12" s="1"/>
  <c r="C325" i="12"/>
  <c r="I324" i="12"/>
  <c r="J324" i="12" s="1"/>
  <c r="H324" i="12"/>
  <c r="K324" i="12" s="1"/>
  <c r="C324" i="12"/>
  <c r="I323" i="12"/>
  <c r="J323" i="12" s="1"/>
  <c r="H323" i="12"/>
  <c r="K323" i="12" s="1"/>
  <c r="C323" i="12"/>
  <c r="I322" i="12"/>
  <c r="J322" i="12" s="1"/>
  <c r="H322" i="12"/>
  <c r="K322" i="12" s="1"/>
  <c r="C322" i="12"/>
  <c r="I321" i="12"/>
  <c r="J321" i="12" s="1"/>
  <c r="H321" i="12"/>
  <c r="K321" i="12" s="1"/>
  <c r="C321" i="12"/>
  <c r="L321" i="12" s="1"/>
  <c r="I320" i="12"/>
  <c r="J320" i="12" s="1"/>
  <c r="H320" i="12"/>
  <c r="K320" i="12" s="1"/>
  <c r="C320" i="12"/>
  <c r="I319" i="12"/>
  <c r="J319" i="12" s="1"/>
  <c r="H319" i="12"/>
  <c r="K319" i="12" s="1"/>
  <c r="C319" i="12"/>
  <c r="I318" i="12"/>
  <c r="J318" i="12" s="1"/>
  <c r="H318" i="12"/>
  <c r="K318" i="12" s="1"/>
  <c r="C318" i="12"/>
  <c r="I317" i="12"/>
  <c r="J317" i="12" s="1"/>
  <c r="H317" i="12"/>
  <c r="K317" i="12" s="1"/>
  <c r="C317" i="12"/>
  <c r="I316" i="12"/>
  <c r="J316" i="12" s="1"/>
  <c r="H316" i="12"/>
  <c r="K316" i="12" s="1"/>
  <c r="C316" i="12"/>
  <c r="I315" i="12"/>
  <c r="J315" i="12" s="1"/>
  <c r="H315" i="12"/>
  <c r="K315" i="12" s="1"/>
  <c r="C315" i="12"/>
  <c r="I314" i="12"/>
  <c r="J314" i="12" s="1"/>
  <c r="H314" i="12"/>
  <c r="K314" i="12" s="1"/>
  <c r="C314" i="12"/>
  <c r="I313" i="12"/>
  <c r="J313" i="12" s="1"/>
  <c r="H313" i="12"/>
  <c r="K313" i="12" s="1"/>
  <c r="C313" i="12"/>
  <c r="I312" i="12"/>
  <c r="J312" i="12" s="1"/>
  <c r="H312" i="12"/>
  <c r="K312" i="12" s="1"/>
  <c r="C312" i="12"/>
  <c r="I311" i="12"/>
  <c r="J311" i="12" s="1"/>
  <c r="H311" i="12"/>
  <c r="K311" i="12" s="1"/>
  <c r="C311" i="12"/>
  <c r="I310" i="12"/>
  <c r="J310" i="12" s="1"/>
  <c r="H310" i="12"/>
  <c r="K310" i="12" s="1"/>
  <c r="C310" i="12"/>
  <c r="I309" i="12"/>
  <c r="J309" i="12" s="1"/>
  <c r="H309" i="12"/>
  <c r="K309" i="12" s="1"/>
  <c r="C309" i="12"/>
  <c r="L309" i="12" s="1"/>
  <c r="I308" i="12"/>
  <c r="J308" i="12" s="1"/>
  <c r="H308" i="12"/>
  <c r="K308" i="12" s="1"/>
  <c r="C308" i="12"/>
  <c r="I307" i="12"/>
  <c r="J307" i="12" s="1"/>
  <c r="H307" i="12"/>
  <c r="K307" i="12" s="1"/>
  <c r="C307" i="12"/>
  <c r="I306" i="12"/>
  <c r="J306" i="12" s="1"/>
  <c r="H306" i="12"/>
  <c r="K306" i="12" s="1"/>
  <c r="C306" i="12"/>
  <c r="I305" i="12"/>
  <c r="J305" i="12" s="1"/>
  <c r="H305" i="12"/>
  <c r="K305" i="12" s="1"/>
  <c r="C305" i="12"/>
  <c r="I304" i="12"/>
  <c r="J304" i="12" s="1"/>
  <c r="H304" i="12"/>
  <c r="K304" i="12" s="1"/>
  <c r="C304" i="12"/>
  <c r="I303" i="12"/>
  <c r="J303" i="12" s="1"/>
  <c r="H303" i="12"/>
  <c r="K303" i="12" s="1"/>
  <c r="C303" i="12"/>
  <c r="I302" i="12"/>
  <c r="J302" i="12" s="1"/>
  <c r="H302" i="12"/>
  <c r="K302" i="12" s="1"/>
  <c r="C302" i="12"/>
  <c r="I301" i="12"/>
  <c r="J301" i="12" s="1"/>
  <c r="H301" i="12"/>
  <c r="K301" i="12" s="1"/>
  <c r="C301" i="12"/>
  <c r="I300" i="12"/>
  <c r="J300" i="12" s="1"/>
  <c r="H300" i="12"/>
  <c r="K300" i="12" s="1"/>
  <c r="C300" i="12"/>
  <c r="I299" i="12"/>
  <c r="J299" i="12" s="1"/>
  <c r="H299" i="12"/>
  <c r="K299" i="12" s="1"/>
  <c r="C299" i="12"/>
  <c r="I298" i="12"/>
  <c r="J298" i="12" s="1"/>
  <c r="H298" i="12"/>
  <c r="K298" i="12" s="1"/>
  <c r="C298" i="12"/>
  <c r="I297" i="12"/>
  <c r="J297" i="12" s="1"/>
  <c r="H297" i="12"/>
  <c r="K297" i="12" s="1"/>
  <c r="C297" i="12"/>
  <c r="I296" i="12"/>
  <c r="J296" i="12" s="1"/>
  <c r="H296" i="12"/>
  <c r="K296" i="12" s="1"/>
  <c r="C296" i="12"/>
  <c r="I295" i="12"/>
  <c r="J295" i="12" s="1"/>
  <c r="H295" i="12"/>
  <c r="K295" i="12" s="1"/>
  <c r="C295" i="12"/>
  <c r="I294" i="12"/>
  <c r="J294" i="12" s="1"/>
  <c r="H294" i="12"/>
  <c r="K294" i="12" s="1"/>
  <c r="C294" i="12"/>
  <c r="I293" i="12"/>
  <c r="J293" i="12" s="1"/>
  <c r="H293" i="12"/>
  <c r="K293" i="12" s="1"/>
  <c r="C293" i="12"/>
  <c r="I292" i="12"/>
  <c r="J292" i="12" s="1"/>
  <c r="H292" i="12"/>
  <c r="K292" i="12" s="1"/>
  <c r="C292" i="12"/>
  <c r="I291" i="12"/>
  <c r="J291" i="12" s="1"/>
  <c r="H291" i="12"/>
  <c r="K291" i="12" s="1"/>
  <c r="C291" i="12"/>
  <c r="I290" i="12"/>
  <c r="J290" i="12" s="1"/>
  <c r="H290" i="12"/>
  <c r="K290" i="12" s="1"/>
  <c r="C290" i="12"/>
  <c r="I289" i="12"/>
  <c r="J289" i="12" s="1"/>
  <c r="H289" i="12"/>
  <c r="K289" i="12" s="1"/>
  <c r="C289" i="12"/>
  <c r="I288" i="12"/>
  <c r="J288" i="12" s="1"/>
  <c r="H288" i="12"/>
  <c r="K288" i="12" s="1"/>
  <c r="C288" i="12"/>
  <c r="I287" i="12"/>
  <c r="J287" i="12" s="1"/>
  <c r="H287" i="12"/>
  <c r="K287" i="12" s="1"/>
  <c r="C287" i="12"/>
  <c r="I286" i="12"/>
  <c r="J286" i="12" s="1"/>
  <c r="H286" i="12"/>
  <c r="K286" i="12" s="1"/>
  <c r="C286" i="12"/>
  <c r="I285" i="12"/>
  <c r="J285" i="12" s="1"/>
  <c r="H285" i="12"/>
  <c r="K285" i="12" s="1"/>
  <c r="C285" i="12"/>
  <c r="I284" i="12"/>
  <c r="J284" i="12" s="1"/>
  <c r="H284" i="12"/>
  <c r="K284" i="12" s="1"/>
  <c r="C284" i="12"/>
  <c r="I283" i="12"/>
  <c r="J283" i="12" s="1"/>
  <c r="H283" i="12"/>
  <c r="K283" i="12" s="1"/>
  <c r="C283" i="12"/>
  <c r="I282" i="12"/>
  <c r="J282" i="12" s="1"/>
  <c r="H282" i="12"/>
  <c r="K282" i="12" s="1"/>
  <c r="C282" i="12"/>
  <c r="I281" i="12"/>
  <c r="J281" i="12" s="1"/>
  <c r="H281" i="12"/>
  <c r="K281" i="12" s="1"/>
  <c r="C281" i="12"/>
  <c r="I280" i="12"/>
  <c r="J280" i="12" s="1"/>
  <c r="H280" i="12"/>
  <c r="K280" i="12" s="1"/>
  <c r="C280" i="12"/>
  <c r="I279" i="12"/>
  <c r="J279" i="12" s="1"/>
  <c r="H279" i="12"/>
  <c r="K279" i="12" s="1"/>
  <c r="C279" i="12"/>
  <c r="I278" i="12"/>
  <c r="J278" i="12" s="1"/>
  <c r="H278" i="12"/>
  <c r="K278" i="12" s="1"/>
  <c r="C278" i="12"/>
  <c r="I277" i="12"/>
  <c r="J277" i="12" s="1"/>
  <c r="H277" i="12"/>
  <c r="K277" i="12" s="1"/>
  <c r="C277" i="12"/>
  <c r="M277" i="12" s="1"/>
  <c r="I276" i="12"/>
  <c r="J276" i="12" s="1"/>
  <c r="H276" i="12"/>
  <c r="K276" i="12" s="1"/>
  <c r="C276" i="12"/>
  <c r="I275" i="12"/>
  <c r="J275" i="12" s="1"/>
  <c r="H275" i="12"/>
  <c r="K275" i="12" s="1"/>
  <c r="C275" i="12"/>
  <c r="I274" i="12"/>
  <c r="J274" i="12" s="1"/>
  <c r="H274" i="12"/>
  <c r="K274" i="12" s="1"/>
  <c r="C274" i="12"/>
  <c r="I273" i="12"/>
  <c r="J273" i="12" s="1"/>
  <c r="H273" i="12"/>
  <c r="K273" i="12" s="1"/>
  <c r="C273" i="12"/>
  <c r="M273" i="12" s="1"/>
  <c r="I272" i="12"/>
  <c r="J272" i="12" s="1"/>
  <c r="H272" i="12"/>
  <c r="K272" i="12" s="1"/>
  <c r="C272" i="12"/>
  <c r="I271" i="12"/>
  <c r="J271" i="12" s="1"/>
  <c r="H271" i="12"/>
  <c r="K271" i="12" s="1"/>
  <c r="C271" i="12"/>
  <c r="I270" i="12"/>
  <c r="J270" i="12" s="1"/>
  <c r="H270" i="12"/>
  <c r="K270" i="12" s="1"/>
  <c r="C270" i="12"/>
  <c r="I269" i="12"/>
  <c r="J269" i="12" s="1"/>
  <c r="H269" i="12"/>
  <c r="K269" i="12" s="1"/>
  <c r="C269" i="12"/>
  <c r="I268" i="12"/>
  <c r="J268" i="12" s="1"/>
  <c r="H268" i="12"/>
  <c r="K268" i="12" s="1"/>
  <c r="C268" i="12"/>
  <c r="I267" i="12"/>
  <c r="J267" i="12" s="1"/>
  <c r="H267" i="12"/>
  <c r="K267" i="12" s="1"/>
  <c r="C267" i="12"/>
  <c r="I266" i="12"/>
  <c r="J266" i="12" s="1"/>
  <c r="H266" i="12"/>
  <c r="K266" i="12" s="1"/>
  <c r="C266" i="12"/>
  <c r="I265" i="12"/>
  <c r="J265" i="12" s="1"/>
  <c r="H265" i="12"/>
  <c r="K265" i="12" s="1"/>
  <c r="C265" i="12"/>
  <c r="I264" i="12"/>
  <c r="J264" i="12" s="1"/>
  <c r="H264" i="12"/>
  <c r="K264" i="12" s="1"/>
  <c r="C264" i="12"/>
  <c r="I263" i="12"/>
  <c r="J263" i="12" s="1"/>
  <c r="H263" i="12"/>
  <c r="K263" i="12" s="1"/>
  <c r="C263" i="12"/>
  <c r="I262" i="12"/>
  <c r="J262" i="12" s="1"/>
  <c r="H262" i="12"/>
  <c r="K262" i="12" s="1"/>
  <c r="C262" i="12"/>
  <c r="I261" i="12"/>
  <c r="J261" i="12" s="1"/>
  <c r="H261" i="12"/>
  <c r="K261" i="12" s="1"/>
  <c r="C261" i="12"/>
  <c r="M261" i="12" s="1"/>
  <c r="I260" i="12"/>
  <c r="J260" i="12" s="1"/>
  <c r="H260" i="12"/>
  <c r="K260" i="12" s="1"/>
  <c r="C260" i="12"/>
  <c r="I259" i="12"/>
  <c r="J259" i="12" s="1"/>
  <c r="H259" i="12"/>
  <c r="K259" i="12" s="1"/>
  <c r="C259" i="12"/>
  <c r="I258" i="12"/>
  <c r="J258" i="12" s="1"/>
  <c r="H258" i="12"/>
  <c r="K258" i="12" s="1"/>
  <c r="C258" i="12"/>
  <c r="I257" i="12"/>
  <c r="J257" i="12" s="1"/>
  <c r="H257" i="12"/>
  <c r="K257" i="12" s="1"/>
  <c r="C257" i="12"/>
  <c r="M257" i="12" s="1"/>
  <c r="I256" i="12"/>
  <c r="J256" i="12" s="1"/>
  <c r="H256" i="12"/>
  <c r="K256" i="12" s="1"/>
  <c r="C256" i="12"/>
  <c r="I255" i="12"/>
  <c r="J255" i="12" s="1"/>
  <c r="H255" i="12"/>
  <c r="K255" i="12" s="1"/>
  <c r="C255" i="12"/>
  <c r="I254" i="12"/>
  <c r="J254" i="12" s="1"/>
  <c r="H254" i="12"/>
  <c r="K254" i="12" s="1"/>
  <c r="C254" i="12"/>
  <c r="I253" i="12"/>
  <c r="J253" i="12" s="1"/>
  <c r="H253" i="12"/>
  <c r="K253" i="12" s="1"/>
  <c r="C253" i="12"/>
  <c r="I252" i="12"/>
  <c r="J252" i="12" s="1"/>
  <c r="H252" i="12"/>
  <c r="K252" i="12" s="1"/>
  <c r="C252" i="12"/>
  <c r="I251" i="12"/>
  <c r="J251" i="12" s="1"/>
  <c r="H251" i="12"/>
  <c r="K251" i="12" s="1"/>
  <c r="C251" i="12"/>
  <c r="I250" i="12"/>
  <c r="J250" i="12" s="1"/>
  <c r="H250" i="12"/>
  <c r="K250" i="12" s="1"/>
  <c r="C250" i="12"/>
  <c r="I249" i="12"/>
  <c r="J249" i="12" s="1"/>
  <c r="H249" i="12"/>
  <c r="K249" i="12" s="1"/>
  <c r="C249" i="12"/>
  <c r="I248" i="12"/>
  <c r="J248" i="12" s="1"/>
  <c r="H248" i="12"/>
  <c r="K248" i="12" s="1"/>
  <c r="C248" i="12"/>
  <c r="I247" i="12"/>
  <c r="J247" i="12" s="1"/>
  <c r="H247" i="12"/>
  <c r="K247" i="12" s="1"/>
  <c r="C247" i="12"/>
  <c r="I246" i="12"/>
  <c r="J246" i="12" s="1"/>
  <c r="H246" i="12"/>
  <c r="K246" i="12" s="1"/>
  <c r="C246" i="12"/>
  <c r="I245" i="12"/>
  <c r="J245" i="12" s="1"/>
  <c r="H245" i="12"/>
  <c r="K245" i="12" s="1"/>
  <c r="C245" i="12"/>
  <c r="M245" i="12" s="1"/>
  <c r="I244" i="12"/>
  <c r="J244" i="12" s="1"/>
  <c r="H244" i="12"/>
  <c r="K244" i="12" s="1"/>
  <c r="C244" i="12"/>
  <c r="I243" i="12"/>
  <c r="J243" i="12" s="1"/>
  <c r="H243" i="12"/>
  <c r="K243" i="12" s="1"/>
  <c r="C243" i="12"/>
  <c r="I242" i="12"/>
  <c r="J242" i="12" s="1"/>
  <c r="H242" i="12"/>
  <c r="K242" i="12" s="1"/>
  <c r="C242" i="12"/>
  <c r="I241" i="12"/>
  <c r="J241" i="12" s="1"/>
  <c r="H241" i="12"/>
  <c r="K241" i="12" s="1"/>
  <c r="C241" i="12"/>
  <c r="M241" i="12" s="1"/>
  <c r="I240" i="12"/>
  <c r="J240" i="12" s="1"/>
  <c r="H240" i="12"/>
  <c r="K240" i="12" s="1"/>
  <c r="C240" i="12"/>
  <c r="I239" i="12"/>
  <c r="J239" i="12" s="1"/>
  <c r="H239" i="12"/>
  <c r="K239" i="12" s="1"/>
  <c r="C239" i="12"/>
  <c r="I238" i="12"/>
  <c r="J238" i="12" s="1"/>
  <c r="H238" i="12"/>
  <c r="K238" i="12" s="1"/>
  <c r="C238" i="12"/>
  <c r="I237" i="12"/>
  <c r="J237" i="12" s="1"/>
  <c r="H237" i="12"/>
  <c r="K237" i="12" s="1"/>
  <c r="C237" i="12"/>
  <c r="I236" i="12"/>
  <c r="J236" i="12" s="1"/>
  <c r="H236" i="12"/>
  <c r="K236" i="12" s="1"/>
  <c r="C236" i="12"/>
  <c r="I235" i="12"/>
  <c r="J235" i="12" s="1"/>
  <c r="H235" i="12"/>
  <c r="K235" i="12" s="1"/>
  <c r="C235" i="12"/>
  <c r="I234" i="12"/>
  <c r="J234" i="12" s="1"/>
  <c r="H234" i="12"/>
  <c r="K234" i="12" s="1"/>
  <c r="C234" i="12"/>
  <c r="I233" i="12"/>
  <c r="J233" i="12" s="1"/>
  <c r="H233" i="12"/>
  <c r="K233" i="12" s="1"/>
  <c r="C233" i="12"/>
  <c r="I232" i="12"/>
  <c r="J232" i="12" s="1"/>
  <c r="H232" i="12"/>
  <c r="K232" i="12" s="1"/>
  <c r="C232" i="12"/>
  <c r="I231" i="12"/>
  <c r="J231" i="12" s="1"/>
  <c r="H231" i="12"/>
  <c r="K231" i="12" s="1"/>
  <c r="C231" i="12"/>
  <c r="I230" i="12"/>
  <c r="J230" i="12" s="1"/>
  <c r="H230" i="12"/>
  <c r="K230" i="12" s="1"/>
  <c r="C230" i="12"/>
  <c r="I229" i="12"/>
  <c r="J229" i="12" s="1"/>
  <c r="H229" i="12"/>
  <c r="K229" i="12" s="1"/>
  <c r="C229" i="12"/>
  <c r="M229" i="12" s="1"/>
  <c r="I228" i="12"/>
  <c r="J228" i="12" s="1"/>
  <c r="H228" i="12"/>
  <c r="K228" i="12" s="1"/>
  <c r="C228" i="12"/>
  <c r="I227" i="12"/>
  <c r="J227" i="12" s="1"/>
  <c r="H227" i="12"/>
  <c r="K227" i="12" s="1"/>
  <c r="C227" i="12"/>
  <c r="I226" i="12"/>
  <c r="J226" i="12" s="1"/>
  <c r="H226" i="12"/>
  <c r="K226" i="12" s="1"/>
  <c r="C226" i="12"/>
  <c r="I225" i="12"/>
  <c r="J225" i="12" s="1"/>
  <c r="H225" i="12"/>
  <c r="K225" i="12" s="1"/>
  <c r="C225" i="12"/>
  <c r="M225" i="12" s="1"/>
  <c r="I224" i="12"/>
  <c r="J224" i="12" s="1"/>
  <c r="H224" i="12"/>
  <c r="K224" i="12" s="1"/>
  <c r="C224" i="12"/>
  <c r="I223" i="12"/>
  <c r="J223" i="12" s="1"/>
  <c r="H223" i="12"/>
  <c r="K223" i="12" s="1"/>
  <c r="C223" i="12"/>
  <c r="I222" i="12"/>
  <c r="J222" i="12" s="1"/>
  <c r="H222" i="12"/>
  <c r="K222" i="12" s="1"/>
  <c r="C222" i="12"/>
  <c r="I221" i="12"/>
  <c r="J221" i="12" s="1"/>
  <c r="H221" i="12"/>
  <c r="K221" i="12" s="1"/>
  <c r="C221" i="12"/>
  <c r="I220" i="12"/>
  <c r="J220" i="12" s="1"/>
  <c r="H220" i="12"/>
  <c r="K220" i="12" s="1"/>
  <c r="C220" i="12"/>
  <c r="I219" i="12"/>
  <c r="J219" i="12" s="1"/>
  <c r="H219" i="12"/>
  <c r="K219" i="12" s="1"/>
  <c r="C219" i="12"/>
  <c r="I218" i="12"/>
  <c r="J218" i="12" s="1"/>
  <c r="H218" i="12"/>
  <c r="K218" i="12" s="1"/>
  <c r="C218" i="12"/>
  <c r="I217" i="12"/>
  <c r="J217" i="12" s="1"/>
  <c r="H217" i="12"/>
  <c r="K217" i="12" s="1"/>
  <c r="C217" i="12"/>
  <c r="I216" i="12"/>
  <c r="J216" i="12" s="1"/>
  <c r="H216" i="12"/>
  <c r="K216" i="12" s="1"/>
  <c r="C216" i="12"/>
  <c r="I215" i="12"/>
  <c r="J215" i="12" s="1"/>
  <c r="H215" i="12"/>
  <c r="K215" i="12" s="1"/>
  <c r="C215" i="12"/>
  <c r="I214" i="12"/>
  <c r="J214" i="12" s="1"/>
  <c r="H214" i="12"/>
  <c r="K214" i="12" s="1"/>
  <c r="C214" i="12"/>
  <c r="I213" i="12"/>
  <c r="J213" i="12" s="1"/>
  <c r="H213" i="12"/>
  <c r="K213" i="12" s="1"/>
  <c r="C213" i="12"/>
  <c r="M213" i="12" s="1"/>
  <c r="I212" i="12"/>
  <c r="J212" i="12" s="1"/>
  <c r="H212" i="12"/>
  <c r="K212" i="12" s="1"/>
  <c r="C212" i="12"/>
  <c r="I211" i="12"/>
  <c r="J211" i="12" s="1"/>
  <c r="H211" i="12"/>
  <c r="K211" i="12" s="1"/>
  <c r="C211" i="12"/>
  <c r="I210" i="12"/>
  <c r="J210" i="12" s="1"/>
  <c r="H210" i="12"/>
  <c r="K210" i="12" s="1"/>
  <c r="C210" i="12"/>
  <c r="I209" i="12"/>
  <c r="J209" i="12" s="1"/>
  <c r="H209" i="12"/>
  <c r="K209" i="12" s="1"/>
  <c r="C209" i="12"/>
  <c r="M209" i="12" s="1"/>
  <c r="I208" i="12"/>
  <c r="J208" i="12" s="1"/>
  <c r="H208" i="12"/>
  <c r="K208" i="12" s="1"/>
  <c r="C208" i="12"/>
  <c r="I207" i="12"/>
  <c r="J207" i="12" s="1"/>
  <c r="H207" i="12"/>
  <c r="K207" i="12" s="1"/>
  <c r="C207" i="12"/>
  <c r="I206" i="12"/>
  <c r="J206" i="12" s="1"/>
  <c r="H206" i="12"/>
  <c r="K206" i="12" s="1"/>
  <c r="C206" i="12"/>
  <c r="I205" i="12"/>
  <c r="J205" i="12" s="1"/>
  <c r="H205" i="12"/>
  <c r="K205" i="12" s="1"/>
  <c r="C205" i="12"/>
  <c r="I204" i="12"/>
  <c r="J204" i="12" s="1"/>
  <c r="H204" i="12"/>
  <c r="K204" i="12" s="1"/>
  <c r="C204" i="12"/>
  <c r="I203" i="12"/>
  <c r="J203" i="12" s="1"/>
  <c r="H203" i="12"/>
  <c r="K203" i="12" s="1"/>
  <c r="C203" i="12"/>
  <c r="I202" i="12"/>
  <c r="J202" i="12" s="1"/>
  <c r="H202" i="12"/>
  <c r="K202" i="12" s="1"/>
  <c r="C202" i="12"/>
  <c r="I201" i="12"/>
  <c r="J201" i="12" s="1"/>
  <c r="H201" i="12"/>
  <c r="K201" i="12" s="1"/>
  <c r="C201" i="12"/>
  <c r="I200" i="12"/>
  <c r="J200" i="12" s="1"/>
  <c r="H200" i="12"/>
  <c r="K200" i="12" s="1"/>
  <c r="C200" i="12"/>
  <c r="I199" i="12"/>
  <c r="J199" i="12" s="1"/>
  <c r="H199" i="12"/>
  <c r="K199" i="12" s="1"/>
  <c r="C199" i="12"/>
  <c r="I198" i="12"/>
  <c r="J198" i="12" s="1"/>
  <c r="H198" i="12"/>
  <c r="K198" i="12" s="1"/>
  <c r="C198" i="12"/>
  <c r="I197" i="12"/>
  <c r="J197" i="12" s="1"/>
  <c r="H197" i="12"/>
  <c r="K197" i="12" s="1"/>
  <c r="C197" i="12"/>
  <c r="M197" i="12" s="1"/>
  <c r="I196" i="12"/>
  <c r="J196" i="12" s="1"/>
  <c r="H196" i="12"/>
  <c r="K196" i="12" s="1"/>
  <c r="C196" i="12"/>
  <c r="I195" i="12"/>
  <c r="J195" i="12" s="1"/>
  <c r="H195" i="12"/>
  <c r="K195" i="12" s="1"/>
  <c r="C195" i="12"/>
  <c r="I194" i="12"/>
  <c r="J194" i="12" s="1"/>
  <c r="H194" i="12"/>
  <c r="K194" i="12" s="1"/>
  <c r="C194" i="12"/>
  <c r="I193" i="12"/>
  <c r="J193" i="12" s="1"/>
  <c r="H193" i="12"/>
  <c r="K193" i="12" s="1"/>
  <c r="C193" i="12"/>
  <c r="M193" i="12" s="1"/>
  <c r="I192" i="12"/>
  <c r="J192" i="12" s="1"/>
  <c r="H192" i="12"/>
  <c r="K192" i="12" s="1"/>
  <c r="C192" i="12"/>
  <c r="I191" i="12"/>
  <c r="J191" i="12" s="1"/>
  <c r="H191" i="12"/>
  <c r="K191" i="12" s="1"/>
  <c r="C191" i="12"/>
  <c r="I190" i="12"/>
  <c r="J190" i="12" s="1"/>
  <c r="H190" i="12"/>
  <c r="K190" i="12" s="1"/>
  <c r="C190" i="12"/>
  <c r="I189" i="12"/>
  <c r="J189" i="12" s="1"/>
  <c r="H189" i="12"/>
  <c r="K189" i="12" s="1"/>
  <c r="C189" i="12"/>
  <c r="I188" i="12"/>
  <c r="J188" i="12" s="1"/>
  <c r="H188" i="12"/>
  <c r="K188" i="12" s="1"/>
  <c r="C188" i="12"/>
  <c r="I187" i="12"/>
  <c r="J187" i="12" s="1"/>
  <c r="H187" i="12"/>
  <c r="K187" i="12" s="1"/>
  <c r="C187" i="12"/>
  <c r="I186" i="12"/>
  <c r="J186" i="12" s="1"/>
  <c r="H186" i="12"/>
  <c r="K186" i="12" s="1"/>
  <c r="C186" i="12"/>
  <c r="I185" i="12"/>
  <c r="J185" i="12" s="1"/>
  <c r="H185" i="12"/>
  <c r="K185" i="12" s="1"/>
  <c r="C185" i="12"/>
  <c r="I184" i="12"/>
  <c r="J184" i="12" s="1"/>
  <c r="H184" i="12"/>
  <c r="K184" i="12" s="1"/>
  <c r="C184" i="12"/>
  <c r="I183" i="12"/>
  <c r="J183" i="12" s="1"/>
  <c r="H183" i="12"/>
  <c r="K183" i="12" s="1"/>
  <c r="C183" i="12"/>
  <c r="I182" i="12"/>
  <c r="J182" i="12" s="1"/>
  <c r="H182" i="12"/>
  <c r="K182" i="12" s="1"/>
  <c r="C182" i="12"/>
  <c r="I181" i="12"/>
  <c r="J181" i="12" s="1"/>
  <c r="H181" i="12"/>
  <c r="K181" i="12" s="1"/>
  <c r="C181" i="12"/>
  <c r="M181" i="12" s="1"/>
  <c r="I180" i="12"/>
  <c r="J180" i="12" s="1"/>
  <c r="H180" i="12"/>
  <c r="K180" i="12" s="1"/>
  <c r="C180" i="12"/>
  <c r="I179" i="12"/>
  <c r="J179" i="12" s="1"/>
  <c r="H179" i="12"/>
  <c r="K179" i="12" s="1"/>
  <c r="C179" i="12"/>
  <c r="I178" i="12"/>
  <c r="J178" i="12" s="1"/>
  <c r="H178" i="12"/>
  <c r="K178" i="12" s="1"/>
  <c r="C178" i="12"/>
  <c r="I177" i="12"/>
  <c r="J177" i="12" s="1"/>
  <c r="H177" i="12"/>
  <c r="K177" i="12" s="1"/>
  <c r="C177" i="12"/>
  <c r="L177" i="12" s="1"/>
  <c r="I176" i="12"/>
  <c r="J176" i="12" s="1"/>
  <c r="H176" i="12"/>
  <c r="K176" i="12" s="1"/>
  <c r="C176" i="12"/>
  <c r="I175" i="12"/>
  <c r="J175" i="12" s="1"/>
  <c r="H175" i="12"/>
  <c r="K175" i="12" s="1"/>
  <c r="C175" i="12"/>
  <c r="I174" i="12"/>
  <c r="J174" i="12" s="1"/>
  <c r="H174" i="12"/>
  <c r="K174" i="12" s="1"/>
  <c r="C174" i="12"/>
  <c r="I173" i="12"/>
  <c r="J173" i="12" s="1"/>
  <c r="H173" i="12"/>
  <c r="K173" i="12" s="1"/>
  <c r="C173" i="12"/>
  <c r="I172" i="12"/>
  <c r="J172" i="12" s="1"/>
  <c r="H172" i="12"/>
  <c r="K172" i="12" s="1"/>
  <c r="C172" i="12"/>
  <c r="I171" i="12"/>
  <c r="J171" i="12" s="1"/>
  <c r="H171" i="12"/>
  <c r="K171" i="12" s="1"/>
  <c r="C171" i="12"/>
  <c r="I170" i="12"/>
  <c r="J170" i="12" s="1"/>
  <c r="H170" i="12"/>
  <c r="K170" i="12" s="1"/>
  <c r="C170" i="12"/>
  <c r="I169" i="12"/>
  <c r="J169" i="12" s="1"/>
  <c r="H169" i="12"/>
  <c r="K169" i="12" s="1"/>
  <c r="C169" i="12"/>
  <c r="I168" i="12"/>
  <c r="J168" i="12" s="1"/>
  <c r="H168" i="12"/>
  <c r="K168" i="12" s="1"/>
  <c r="C168" i="12"/>
  <c r="I167" i="12"/>
  <c r="J167" i="12" s="1"/>
  <c r="H167" i="12"/>
  <c r="K167" i="12" s="1"/>
  <c r="C167" i="12"/>
  <c r="I166" i="12"/>
  <c r="J166" i="12" s="1"/>
  <c r="H166" i="12"/>
  <c r="K166" i="12" s="1"/>
  <c r="C166" i="12"/>
  <c r="I165" i="12"/>
  <c r="J165" i="12" s="1"/>
  <c r="H165" i="12"/>
  <c r="K165" i="12" s="1"/>
  <c r="C165" i="12"/>
  <c r="M165" i="12" s="1"/>
  <c r="I164" i="12"/>
  <c r="J164" i="12" s="1"/>
  <c r="H164" i="12"/>
  <c r="K164" i="12" s="1"/>
  <c r="C164" i="12"/>
  <c r="I163" i="12"/>
  <c r="J163" i="12" s="1"/>
  <c r="H163" i="12"/>
  <c r="K163" i="12" s="1"/>
  <c r="C163" i="12"/>
  <c r="I162" i="12"/>
  <c r="J162" i="12" s="1"/>
  <c r="H162" i="12"/>
  <c r="K162" i="12" s="1"/>
  <c r="C162" i="12"/>
  <c r="I161" i="12"/>
  <c r="J161" i="12" s="1"/>
  <c r="H161" i="12"/>
  <c r="K161" i="12" s="1"/>
  <c r="C161" i="12"/>
  <c r="M161" i="12" s="1"/>
  <c r="I160" i="12"/>
  <c r="J160" i="12" s="1"/>
  <c r="H160" i="12"/>
  <c r="K160" i="12" s="1"/>
  <c r="C160" i="12"/>
  <c r="I159" i="12"/>
  <c r="J159" i="12" s="1"/>
  <c r="H159" i="12"/>
  <c r="K159" i="12" s="1"/>
  <c r="C159" i="12"/>
  <c r="I158" i="12"/>
  <c r="J158" i="12" s="1"/>
  <c r="H158" i="12"/>
  <c r="K158" i="12" s="1"/>
  <c r="C158" i="12"/>
  <c r="I157" i="12"/>
  <c r="J157" i="12" s="1"/>
  <c r="H157" i="12"/>
  <c r="K157" i="12" s="1"/>
  <c r="C157" i="12"/>
  <c r="I156" i="12"/>
  <c r="J156" i="12" s="1"/>
  <c r="H156" i="12"/>
  <c r="K156" i="12" s="1"/>
  <c r="C156" i="12"/>
  <c r="I155" i="12"/>
  <c r="J155" i="12" s="1"/>
  <c r="H155" i="12"/>
  <c r="K155" i="12" s="1"/>
  <c r="C155" i="12"/>
  <c r="I154" i="12"/>
  <c r="J154" i="12" s="1"/>
  <c r="H154" i="12"/>
  <c r="K154" i="12" s="1"/>
  <c r="C154" i="12"/>
  <c r="I153" i="12"/>
  <c r="J153" i="12" s="1"/>
  <c r="H153" i="12"/>
  <c r="K153" i="12" s="1"/>
  <c r="C153" i="12"/>
  <c r="I152" i="12"/>
  <c r="J152" i="12" s="1"/>
  <c r="H152" i="12"/>
  <c r="K152" i="12" s="1"/>
  <c r="C152" i="12"/>
  <c r="I151" i="12"/>
  <c r="J151" i="12" s="1"/>
  <c r="H151" i="12"/>
  <c r="K151" i="12" s="1"/>
  <c r="C151" i="12"/>
  <c r="I150" i="12"/>
  <c r="J150" i="12" s="1"/>
  <c r="H150" i="12"/>
  <c r="K150" i="12" s="1"/>
  <c r="C150" i="12"/>
  <c r="I149" i="12"/>
  <c r="J149" i="12" s="1"/>
  <c r="H149" i="12"/>
  <c r="K149" i="12" s="1"/>
  <c r="C149" i="12"/>
  <c r="M149" i="12" s="1"/>
  <c r="I148" i="12"/>
  <c r="J148" i="12" s="1"/>
  <c r="H148" i="12"/>
  <c r="K148" i="12" s="1"/>
  <c r="C148" i="12"/>
  <c r="I147" i="12"/>
  <c r="J147" i="12" s="1"/>
  <c r="H147" i="12"/>
  <c r="K147" i="12" s="1"/>
  <c r="C147" i="12"/>
  <c r="I146" i="12"/>
  <c r="J146" i="12" s="1"/>
  <c r="H146" i="12"/>
  <c r="K146" i="12" s="1"/>
  <c r="C146" i="12"/>
  <c r="I145" i="12"/>
  <c r="J145" i="12" s="1"/>
  <c r="H145" i="12"/>
  <c r="K145" i="12" s="1"/>
  <c r="C145" i="12"/>
  <c r="M145" i="12" s="1"/>
  <c r="I144" i="12"/>
  <c r="J144" i="12" s="1"/>
  <c r="H144" i="12"/>
  <c r="K144" i="12" s="1"/>
  <c r="C144" i="12"/>
  <c r="I143" i="12"/>
  <c r="J143" i="12" s="1"/>
  <c r="H143" i="12"/>
  <c r="K143" i="12" s="1"/>
  <c r="C143" i="12"/>
  <c r="I142" i="12"/>
  <c r="J142" i="12" s="1"/>
  <c r="H142" i="12"/>
  <c r="K142" i="12" s="1"/>
  <c r="C142" i="12"/>
  <c r="I141" i="12"/>
  <c r="J141" i="12" s="1"/>
  <c r="H141" i="12"/>
  <c r="K141" i="12" s="1"/>
  <c r="C141" i="12"/>
  <c r="I140" i="12"/>
  <c r="J140" i="12" s="1"/>
  <c r="H140" i="12"/>
  <c r="K140" i="12" s="1"/>
  <c r="C140" i="12"/>
  <c r="I139" i="12"/>
  <c r="J139" i="12" s="1"/>
  <c r="H139" i="12"/>
  <c r="K139" i="12" s="1"/>
  <c r="C139" i="12"/>
  <c r="I138" i="12"/>
  <c r="J138" i="12" s="1"/>
  <c r="H138" i="12"/>
  <c r="K138" i="12" s="1"/>
  <c r="C138" i="12"/>
  <c r="I137" i="12"/>
  <c r="J137" i="12" s="1"/>
  <c r="H137" i="12"/>
  <c r="K137" i="12" s="1"/>
  <c r="C137" i="12"/>
  <c r="I136" i="12"/>
  <c r="J136" i="12" s="1"/>
  <c r="H136" i="12"/>
  <c r="K136" i="12" s="1"/>
  <c r="C136" i="12"/>
  <c r="I135" i="12"/>
  <c r="J135" i="12" s="1"/>
  <c r="H135" i="12"/>
  <c r="K135" i="12" s="1"/>
  <c r="C135" i="12"/>
  <c r="I134" i="12"/>
  <c r="J134" i="12" s="1"/>
  <c r="H134" i="12"/>
  <c r="K134" i="12" s="1"/>
  <c r="C134" i="12"/>
  <c r="I133" i="12"/>
  <c r="J133" i="12" s="1"/>
  <c r="H133" i="12"/>
  <c r="C133" i="12"/>
  <c r="M133" i="12" s="1"/>
  <c r="I132" i="12"/>
  <c r="J132" i="12" s="1"/>
  <c r="H132" i="12"/>
  <c r="K132" i="12" s="1"/>
  <c r="C132" i="12"/>
  <c r="I131" i="12"/>
  <c r="J131" i="12" s="1"/>
  <c r="H131" i="12"/>
  <c r="K131" i="12" s="1"/>
  <c r="C131" i="12"/>
  <c r="I130" i="12"/>
  <c r="J130" i="12" s="1"/>
  <c r="H130" i="12"/>
  <c r="K130" i="12" s="1"/>
  <c r="C130" i="12"/>
  <c r="I129" i="12"/>
  <c r="J129" i="12" s="1"/>
  <c r="H129" i="12"/>
  <c r="K129" i="12" s="1"/>
  <c r="C129" i="12"/>
  <c r="M129" i="12" s="1"/>
  <c r="I128" i="12"/>
  <c r="J128" i="12" s="1"/>
  <c r="H128" i="12"/>
  <c r="K128" i="12" s="1"/>
  <c r="C128" i="12"/>
  <c r="I127" i="12"/>
  <c r="J127" i="12" s="1"/>
  <c r="H127" i="12"/>
  <c r="K127" i="12" s="1"/>
  <c r="C127" i="12"/>
  <c r="I126" i="12"/>
  <c r="J126" i="12" s="1"/>
  <c r="H126" i="12"/>
  <c r="K126" i="12" s="1"/>
  <c r="C126" i="12"/>
  <c r="I125" i="12"/>
  <c r="J125" i="12" s="1"/>
  <c r="H125" i="12"/>
  <c r="K125" i="12" s="1"/>
  <c r="C125" i="12"/>
  <c r="I124" i="12"/>
  <c r="J124" i="12" s="1"/>
  <c r="H124" i="12"/>
  <c r="K124" i="12" s="1"/>
  <c r="C124" i="12"/>
  <c r="I123" i="12"/>
  <c r="J123" i="12" s="1"/>
  <c r="H123" i="12"/>
  <c r="K123" i="12" s="1"/>
  <c r="C123" i="12"/>
  <c r="I122" i="12"/>
  <c r="J122" i="12" s="1"/>
  <c r="H122" i="12"/>
  <c r="K122" i="12" s="1"/>
  <c r="C122" i="12"/>
  <c r="I121" i="12"/>
  <c r="J121" i="12" s="1"/>
  <c r="H121" i="12"/>
  <c r="K121" i="12" s="1"/>
  <c r="C121" i="12"/>
  <c r="M121" i="12" s="1"/>
  <c r="I120" i="12"/>
  <c r="J120" i="12" s="1"/>
  <c r="H120" i="12"/>
  <c r="K120" i="12" s="1"/>
  <c r="C120" i="12"/>
  <c r="I119" i="12"/>
  <c r="J119" i="12" s="1"/>
  <c r="H119" i="12"/>
  <c r="K119" i="12" s="1"/>
  <c r="C119" i="12"/>
  <c r="I118" i="12"/>
  <c r="J118" i="12" s="1"/>
  <c r="H118" i="12"/>
  <c r="K118" i="12" s="1"/>
  <c r="C118" i="12"/>
  <c r="I117" i="12"/>
  <c r="J117" i="12" s="1"/>
  <c r="H117" i="12"/>
  <c r="K117" i="12" s="1"/>
  <c r="C117" i="12"/>
  <c r="I116" i="12"/>
  <c r="J116" i="12" s="1"/>
  <c r="H116" i="12"/>
  <c r="K116" i="12" s="1"/>
  <c r="C116" i="12"/>
  <c r="I115" i="12"/>
  <c r="J115" i="12" s="1"/>
  <c r="H115" i="12"/>
  <c r="K115" i="12" s="1"/>
  <c r="C115" i="12"/>
  <c r="I114" i="12"/>
  <c r="J114" i="12" s="1"/>
  <c r="H114" i="12"/>
  <c r="K114" i="12" s="1"/>
  <c r="C114" i="12"/>
  <c r="I113" i="12"/>
  <c r="J113" i="12" s="1"/>
  <c r="H113" i="12"/>
  <c r="K113" i="12" s="1"/>
  <c r="C113" i="12"/>
  <c r="L113" i="12" s="1"/>
  <c r="I112" i="12"/>
  <c r="J112" i="12" s="1"/>
  <c r="H112" i="12"/>
  <c r="K112" i="12" s="1"/>
  <c r="C112" i="12"/>
  <c r="I111" i="12"/>
  <c r="J111" i="12" s="1"/>
  <c r="H111" i="12"/>
  <c r="K111" i="12" s="1"/>
  <c r="C111" i="12"/>
  <c r="I110" i="12"/>
  <c r="J110" i="12" s="1"/>
  <c r="H110" i="12"/>
  <c r="K110" i="12" s="1"/>
  <c r="C110" i="12"/>
  <c r="I109" i="12"/>
  <c r="J109" i="12" s="1"/>
  <c r="H109" i="12"/>
  <c r="K109" i="12" s="1"/>
  <c r="C109" i="12"/>
  <c r="M109" i="12" s="1"/>
  <c r="I108" i="12"/>
  <c r="J108" i="12" s="1"/>
  <c r="H108" i="12"/>
  <c r="K108" i="12" s="1"/>
  <c r="C108" i="12"/>
  <c r="I107" i="12"/>
  <c r="J107" i="12" s="1"/>
  <c r="H107" i="12"/>
  <c r="K107" i="12" s="1"/>
  <c r="C107" i="12"/>
  <c r="I106" i="12"/>
  <c r="J106" i="12" s="1"/>
  <c r="H106" i="12"/>
  <c r="K106" i="12" s="1"/>
  <c r="C106" i="12"/>
  <c r="I105" i="12"/>
  <c r="J105" i="12" s="1"/>
  <c r="H105" i="12"/>
  <c r="K105" i="12" s="1"/>
  <c r="C105" i="12"/>
  <c r="I104" i="12"/>
  <c r="J104" i="12" s="1"/>
  <c r="H104" i="12"/>
  <c r="K104" i="12" s="1"/>
  <c r="C104" i="12"/>
  <c r="I103" i="12"/>
  <c r="J103" i="12" s="1"/>
  <c r="H103" i="12"/>
  <c r="K103" i="12" s="1"/>
  <c r="C103" i="12"/>
  <c r="I102" i="12"/>
  <c r="J102" i="12" s="1"/>
  <c r="H102" i="12"/>
  <c r="K102" i="12" s="1"/>
  <c r="C102" i="12"/>
  <c r="I101" i="12"/>
  <c r="J101" i="12" s="1"/>
  <c r="H101" i="12"/>
  <c r="K101" i="12" s="1"/>
  <c r="C101" i="12"/>
  <c r="M101" i="12" s="1"/>
  <c r="I100" i="12"/>
  <c r="J100" i="12" s="1"/>
  <c r="H100" i="12"/>
  <c r="K100" i="12" s="1"/>
  <c r="C100" i="12"/>
  <c r="I99" i="12"/>
  <c r="J99" i="12" s="1"/>
  <c r="H99" i="12"/>
  <c r="K99" i="12" s="1"/>
  <c r="C99" i="12"/>
  <c r="I98" i="12"/>
  <c r="J98" i="12" s="1"/>
  <c r="H98" i="12"/>
  <c r="K98" i="12" s="1"/>
  <c r="C98" i="12"/>
  <c r="I97" i="12"/>
  <c r="J97" i="12" s="1"/>
  <c r="H97" i="12"/>
  <c r="K97" i="12" s="1"/>
  <c r="C97" i="12"/>
  <c r="I96" i="12"/>
  <c r="J96" i="12" s="1"/>
  <c r="H96" i="12"/>
  <c r="K96" i="12" s="1"/>
  <c r="C96" i="12"/>
  <c r="I95" i="12"/>
  <c r="J95" i="12" s="1"/>
  <c r="H95" i="12"/>
  <c r="K95" i="12" s="1"/>
  <c r="C95" i="12"/>
  <c r="I94" i="12"/>
  <c r="J94" i="12" s="1"/>
  <c r="H94" i="12"/>
  <c r="K94" i="12" s="1"/>
  <c r="C94" i="12"/>
  <c r="I93" i="12"/>
  <c r="J93" i="12" s="1"/>
  <c r="H93" i="12"/>
  <c r="K93" i="12" s="1"/>
  <c r="C93" i="12"/>
  <c r="I92" i="12"/>
  <c r="J92" i="12" s="1"/>
  <c r="H92" i="12"/>
  <c r="K92" i="12" s="1"/>
  <c r="C92" i="12"/>
  <c r="L92" i="12" s="1"/>
  <c r="I91" i="12"/>
  <c r="J91" i="12" s="1"/>
  <c r="H91" i="12"/>
  <c r="K91" i="12" s="1"/>
  <c r="C91" i="12"/>
  <c r="I90" i="12"/>
  <c r="J90" i="12" s="1"/>
  <c r="H90" i="12"/>
  <c r="K90" i="12" s="1"/>
  <c r="C90" i="12"/>
  <c r="I89" i="12"/>
  <c r="J89" i="12" s="1"/>
  <c r="H89" i="12"/>
  <c r="K89" i="12" s="1"/>
  <c r="C89" i="12"/>
  <c r="I88" i="12"/>
  <c r="J88" i="12" s="1"/>
  <c r="H88" i="12"/>
  <c r="K88" i="12" s="1"/>
  <c r="C88" i="12"/>
  <c r="I87" i="12"/>
  <c r="J87" i="12" s="1"/>
  <c r="H87" i="12"/>
  <c r="K87" i="12" s="1"/>
  <c r="C87" i="12"/>
  <c r="I86" i="12"/>
  <c r="J86" i="12" s="1"/>
  <c r="H86" i="12"/>
  <c r="K86" i="12" s="1"/>
  <c r="C86" i="12"/>
  <c r="I85" i="12"/>
  <c r="J85" i="12" s="1"/>
  <c r="H85" i="12"/>
  <c r="K85" i="12" s="1"/>
  <c r="C85" i="12"/>
  <c r="I84" i="12"/>
  <c r="J84" i="12" s="1"/>
  <c r="H84" i="12"/>
  <c r="K84" i="12" s="1"/>
  <c r="C84" i="12"/>
  <c r="I83" i="12"/>
  <c r="J83" i="12" s="1"/>
  <c r="H83" i="12"/>
  <c r="K83" i="12" s="1"/>
  <c r="C83" i="12"/>
  <c r="I82" i="12"/>
  <c r="J82" i="12" s="1"/>
  <c r="H82" i="12"/>
  <c r="K82" i="12" s="1"/>
  <c r="C82" i="12"/>
  <c r="I81" i="12"/>
  <c r="J81" i="12" s="1"/>
  <c r="H81" i="12"/>
  <c r="K81" i="12" s="1"/>
  <c r="C81" i="12"/>
  <c r="I80" i="12"/>
  <c r="J80" i="12" s="1"/>
  <c r="H80" i="12"/>
  <c r="K80" i="12" s="1"/>
  <c r="C80" i="12"/>
  <c r="I79" i="12"/>
  <c r="J79" i="12" s="1"/>
  <c r="H79" i="12"/>
  <c r="K79" i="12" s="1"/>
  <c r="C79" i="12"/>
  <c r="I78" i="12"/>
  <c r="J78" i="12" s="1"/>
  <c r="H78" i="12"/>
  <c r="K78" i="12" s="1"/>
  <c r="C78" i="12"/>
  <c r="I77" i="12"/>
  <c r="J77" i="12" s="1"/>
  <c r="H77" i="12"/>
  <c r="K77" i="12" s="1"/>
  <c r="C77" i="12"/>
  <c r="I76" i="12"/>
  <c r="J76" i="12" s="1"/>
  <c r="H76" i="12"/>
  <c r="K76" i="12" s="1"/>
  <c r="C76" i="12"/>
  <c r="I75" i="12"/>
  <c r="J75" i="12" s="1"/>
  <c r="H75" i="12"/>
  <c r="K75" i="12" s="1"/>
  <c r="C75" i="12"/>
  <c r="I74" i="12"/>
  <c r="J74" i="12" s="1"/>
  <c r="H74" i="12"/>
  <c r="K74" i="12" s="1"/>
  <c r="C74" i="12"/>
  <c r="I73" i="12"/>
  <c r="J73" i="12" s="1"/>
  <c r="H73" i="12"/>
  <c r="K73" i="12" s="1"/>
  <c r="C73" i="12"/>
  <c r="I72" i="12"/>
  <c r="J72" i="12" s="1"/>
  <c r="H72" i="12"/>
  <c r="K72" i="12" s="1"/>
  <c r="C72" i="12"/>
  <c r="I71" i="12"/>
  <c r="J71" i="12" s="1"/>
  <c r="H71" i="12"/>
  <c r="K71" i="12" s="1"/>
  <c r="C71" i="12"/>
  <c r="I70" i="12"/>
  <c r="J70" i="12" s="1"/>
  <c r="H70" i="12"/>
  <c r="K70" i="12" s="1"/>
  <c r="C70" i="12"/>
  <c r="I69" i="12"/>
  <c r="J69" i="12" s="1"/>
  <c r="H69" i="12"/>
  <c r="K69" i="12" s="1"/>
  <c r="C69" i="12"/>
  <c r="I68" i="12"/>
  <c r="J68" i="12" s="1"/>
  <c r="H68" i="12"/>
  <c r="K68" i="12" s="1"/>
  <c r="C68" i="12"/>
  <c r="I67" i="12"/>
  <c r="J67" i="12" s="1"/>
  <c r="H67" i="12"/>
  <c r="K67" i="12" s="1"/>
  <c r="C67" i="12"/>
  <c r="I66" i="12"/>
  <c r="J66" i="12" s="1"/>
  <c r="H66" i="12"/>
  <c r="K66" i="12" s="1"/>
  <c r="C66" i="12"/>
  <c r="I65" i="12"/>
  <c r="J65" i="12" s="1"/>
  <c r="H65" i="12"/>
  <c r="K65" i="12" s="1"/>
  <c r="C65" i="12"/>
  <c r="L65" i="12" s="1"/>
  <c r="I64" i="12"/>
  <c r="J64" i="12" s="1"/>
  <c r="H64" i="12"/>
  <c r="K64" i="12" s="1"/>
  <c r="C64" i="12"/>
  <c r="I63" i="12"/>
  <c r="J63" i="12" s="1"/>
  <c r="H63" i="12"/>
  <c r="K63" i="12" s="1"/>
  <c r="C63" i="12"/>
  <c r="I62" i="12"/>
  <c r="J62" i="12" s="1"/>
  <c r="H62" i="12"/>
  <c r="K62" i="12" s="1"/>
  <c r="C62" i="12"/>
  <c r="I61" i="12"/>
  <c r="J61" i="12" s="1"/>
  <c r="H61" i="12"/>
  <c r="K61" i="12" s="1"/>
  <c r="C61" i="12"/>
  <c r="I60" i="12"/>
  <c r="J60" i="12" s="1"/>
  <c r="H60" i="12"/>
  <c r="K60" i="12" s="1"/>
  <c r="C60" i="12"/>
  <c r="I59" i="12"/>
  <c r="J59" i="12" s="1"/>
  <c r="H59" i="12"/>
  <c r="K59" i="12" s="1"/>
  <c r="C59" i="12"/>
  <c r="I58" i="12"/>
  <c r="J58" i="12" s="1"/>
  <c r="H58" i="12"/>
  <c r="K58" i="12" s="1"/>
  <c r="C58" i="12"/>
  <c r="I57" i="12"/>
  <c r="J57" i="12" s="1"/>
  <c r="H57" i="12"/>
  <c r="K57" i="12" s="1"/>
  <c r="C57" i="12"/>
  <c r="I56" i="12"/>
  <c r="J56" i="12" s="1"/>
  <c r="H56" i="12"/>
  <c r="K56" i="12" s="1"/>
  <c r="C56" i="12"/>
  <c r="I55" i="12"/>
  <c r="J55" i="12" s="1"/>
  <c r="H55" i="12"/>
  <c r="K55" i="12" s="1"/>
  <c r="C55" i="12"/>
  <c r="I54" i="12"/>
  <c r="J54" i="12" s="1"/>
  <c r="H54" i="12"/>
  <c r="K54" i="12" s="1"/>
  <c r="C54" i="12"/>
  <c r="I53" i="12"/>
  <c r="J53" i="12" s="1"/>
  <c r="H53" i="12"/>
  <c r="K53" i="12" s="1"/>
  <c r="C53" i="12"/>
  <c r="I52" i="12"/>
  <c r="J52" i="12" s="1"/>
  <c r="H52" i="12"/>
  <c r="K52" i="12" s="1"/>
  <c r="C52" i="12"/>
  <c r="I51" i="12"/>
  <c r="J51" i="12" s="1"/>
  <c r="H51" i="12"/>
  <c r="K51" i="12" s="1"/>
  <c r="C51" i="12"/>
  <c r="I50" i="12"/>
  <c r="J50" i="12" s="1"/>
  <c r="H50" i="12"/>
  <c r="K50" i="12" s="1"/>
  <c r="C50" i="12"/>
  <c r="I49" i="12"/>
  <c r="J49" i="12" s="1"/>
  <c r="H49" i="12"/>
  <c r="K49" i="12" s="1"/>
  <c r="C49" i="12"/>
  <c r="L49" i="12" s="1"/>
  <c r="I48" i="12"/>
  <c r="J48" i="12" s="1"/>
  <c r="H48" i="12"/>
  <c r="K48" i="12" s="1"/>
  <c r="C48" i="12"/>
  <c r="I47" i="12"/>
  <c r="J47" i="12" s="1"/>
  <c r="H47" i="12"/>
  <c r="K47" i="12" s="1"/>
  <c r="C47" i="12"/>
  <c r="I46" i="12"/>
  <c r="J46" i="12" s="1"/>
  <c r="H46" i="12"/>
  <c r="K46" i="12" s="1"/>
  <c r="C46" i="12"/>
  <c r="I45" i="12"/>
  <c r="J45" i="12" s="1"/>
  <c r="H45" i="12"/>
  <c r="K45" i="12" s="1"/>
  <c r="C45" i="12"/>
  <c r="I44" i="12"/>
  <c r="J44" i="12" s="1"/>
  <c r="H44" i="12"/>
  <c r="K44" i="12" s="1"/>
  <c r="C44" i="12"/>
  <c r="I43" i="12"/>
  <c r="J43" i="12" s="1"/>
  <c r="H43" i="12"/>
  <c r="K43" i="12" s="1"/>
  <c r="C43" i="12"/>
  <c r="I42" i="12"/>
  <c r="J42" i="12" s="1"/>
  <c r="H42" i="12"/>
  <c r="K42" i="12" s="1"/>
  <c r="C42" i="12"/>
  <c r="I41" i="12"/>
  <c r="J41" i="12" s="1"/>
  <c r="H41" i="12"/>
  <c r="K41" i="12" s="1"/>
  <c r="C41" i="12"/>
  <c r="I40" i="12"/>
  <c r="J40" i="12" s="1"/>
  <c r="H40" i="12"/>
  <c r="K40" i="12" s="1"/>
  <c r="C40" i="12"/>
  <c r="I39" i="12"/>
  <c r="J39" i="12" s="1"/>
  <c r="H39" i="12"/>
  <c r="K39" i="12" s="1"/>
  <c r="C39" i="12"/>
  <c r="I38" i="12"/>
  <c r="J38" i="12" s="1"/>
  <c r="H38" i="12"/>
  <c r="K38" i="12" s="1"/>
  <c r="C38" i="12"/>
  <c r="I37" i="12"/>
  <c r="J37" i="12" s="1"/>
  <c r="H37" i="12"/>
  <c r="K37" i="12" s="1"/>
  <c r="C37" i="12"/>
  <c r="I36" i="12"/>
  <c r="J36" i="12" s="1"/>
  <c r="H36" i="12"/>
  <c r="K36" i="12" s="1"/>
  <c r="C36" i="12"/>
  <c r="I35" i="12"/>
  <c r="J35" i="12" s="1"/>
  <c r="H35" i="12"/>
  <c r="K35" i="12" s="1"/>
  <c r="C35" i="12"/>
  <c r="I34" i="12"/>
  <c r="J34" i="12" s="1"/>
  <c r="H34" i="12"/>
  <c r="K34" i="12" s="1"/>
  <c r="C34" i="12"/>
  <c r="I33" i="12"/>
  <c r="J33" i="12" s="1"/>
  <c r="H33" i="12"/>
  <c r="K33" i="12" s="1"/>
  <c r="C33" i="12"/>
  <c r="I32" i="12"/>
  <c r="J32" i="12" s="1"/>
  <c r="H32" i="12"/>
  <c r="K32" i="12" s="1"/>
  <c r="C32" i="12"/>
  <c r="I31" i="12"/>
  <c r="J31" i="12" s="1"/>
  <c r="H31" i="12"/>
  <c r="K31" i="12" s="1"/>
  <c r="C31" i="12"/>
  <c r="I30" i="12"/>
  <c r="J30" i="12" s="1"/>
  <c r="H30" i="12"/>
  <c r="K30" i="12" s="1"/>
  <c r="C30" i="12"/>
  <c r="I29" i="12"/>
  <c r="J29" i="12" s="1"/>
  <c r="H29" i="12"/>
  <c r="K29" i="12" s="1"/>
  <c r="C29" i="12"/>
  <c r="I28" i="12"/>
  <c r="J28" i="12" s="1"/>
  <c r="H28" i="12"/>
  <c r="K28" i="12" s="1"/>
  <c r="C28" i="12"/>
  <c r="I27" i="12"/>
  <c r="J27" i="12" s="1"/>
  <c r="H27" i="12"/>
  <c r="K27" i="12" s="1"/>
  <c r="C27" i="12"/>
  <c r="I26" i="12"/>
  <c r="J26" i="12" s="1"/>
  <c r="H26" i="12"/>
  <c r="K26" i="12" s="1"/>
  <c r="C26" i="12"/>
  <c r="I25" i="12"/>
  <c r="J25" i="12" s="1"/>
  <c r="H25" i="12"/>
  <c r="K25" i="12" s="1"/>
  <c r="C25" i="12"/>
  <c r="I24" i="12"/>
  <c r="J24" i="12" s="1"/>
  <c r="H24" i="12"/>
  <c r="K24" i="12" s="1"/>
  <c r="C24" i="12"/>
  <c r="I23" i="12"/>
  <c r="J23" i="12" s="1"/>
  <c r="H23" i="12"/>
  <c r="K23" i="12" s="1"/>
  <c r="C23" i="12"/>
  <c r="I22" i="12"/>
  <c r="J22" i="12" s="1"/>
  <c r="H22" i="12"/>
  <c r="K22" i="12" s="1"/>
  <c r="C22" i="12"/>
  <c r="I21" i="12"/>
  <c r="J21" i="12" s="1"/>
  <c r="H21" i="12"/>
  <c r="K21" i="12" s="1"/>
  <c r="C21" i="12"/>
  <c r="I20" i="12"/>
  <c r="J20" i="12" s="1"/>
  <c r="H20" i="12"/>
  <c r="K20" i="12" s="1"/>
  <c r="C20" i="12"/>
  <c r="I19" i="12"/>
  <c r="J19" i="12" s="1"/>
  <c r="H19" i="12"/>
  <c r="K19" i="12" s="1"/>
  <c r="C19" i="12"/>
  <c r="I18" i="12"/>
  <c r="J18" i="12" s="1"/>
  <c r="H18" i="12"/>
  <c r="K18" i="12" s="1"/>
  <c r="C18" i="12"/>
  <c r="I17" i="12"/>
  <c r="J17" i="12" s="1"/>
  <c r="H17" i="12"/>
  <c r="K17" i="12" s="1"/>
  <c r="C17" i="12"/>
  <c r="I16" i="12"/>
  <c r="J16" i="12" s="1"/>
  <c r="H16" i="12"/>
  <c r="K16" i="12" s="1"/>
  <c r="C16" i="12"/>
  <c r="I15" i="12"/>
  <c r="J15" i="12" s="1"/>
  <c r="H15" i="12"/>
  <c r="K15" i="12" s="1"/>
  <c r="C15" i="12"/>
  <c r="I14" i="12"/>
  <c r="J14" i="12" s="1"/>
  <c r="H14" i="12"/>
  <c r="K14" i="12" s="1"/>
  <c r="C14" i="12"/>
  <c r="I13" i="12"/>
  <c r="J13" i="12" s="1"/>
  <c r="H13" i="12"/>
  <c r="K13" i="12" s="1"/>
  <c r="C13" i="12"/>
  <c r="I12" i="12"/>
  <c r="J12" i="12" s="1"/>
  <c r="H12" i="12"/>
  <c r="K12" i="12" s="1"/>
  <c r="C12" i="12"/>
  <c r="I11" i="12"/>
  <c r="J11" i="12" s="1"/>
  <c r="H11" i="12"/>
  <c r="K11" i="12" s="1"/>
  <c r="C11" i="12"/>
  <c r="I10" i="12"/>
  <c r="J10" i="12" s="1"/>
  <c r="H10" i="12"/>
  <c r="K10" i="12" s="1"/>
  <c r="C10" i="12"/>
  <c r="I9" i="12"/>
  <c r="J9" i="12" s="1"/>
  <c r="H9" i="12"/>
  <c r="K9" i="12" s="1"/>
  <c r="C9" i="12"/>
  <c r="I8" i="12"/>
  <c r="J8" i="12" s="1"/>
  <c r="H8" i="12"/>
  <c r="K8" i="12" s="1"/>
  <c r="C8" i="12"/>
  <c r="I7" i="12"/>
  <c r="J7" i="12" s="1"/>
  <c r="H7" i="12"/>
  <c r="K7" i="12" s="1"/>
  <c r="C7" i="12"/>
  <c r="I6" i="12"/>
  <c r="J6" i="12" s="1"/>
  <c r="H6" i="12"/>
  <c r="C6" i="12"/>
  <c r="S37" i="11"/>
  <c r="S38" i="11"/>
  <c r="S39" i="11"/>
  <c r="S40" i="11"/>
  <c r="S41" i="11"/>
  <c r="S42" i="11"/>
  <c r="S36" i="11"/>
  <c r="P37" i="11"/>
  <c r="P38" i="11"/>
  <c r="P39" i="11"/>
  <c r="P40" i="11"/>
  <c r="P41" i="11"/>
  <c r="P36" i="11"/>
  <c r="M37" i="11"/>
  <c r="M38" i="11"/>
  <c r="M39" i="11"/>
  <c r="M40" i="11"/>
  <c r="M41" i="11"/>
  <c r="M42" i="11"/>
  <c r="M36" i="11"/>
  <c r="K42" i="11"/>
  <c r="J39" i="11"/>
  <c r="J40" i="11"/>
  <c r="J41" i="11"/>
  <c r="J42" i="11"/>
  <c r="J38" i="11"/>
  <c r="J37" i="11"/>
  <c r="J36" i="11"/>
  <c r="I36" i="11"/>
  <c r="H37" i="11"/>
  <c r="H38" i="11"/>
  <c r="H39" i="11"/>
  <c r="Q38" i="11" s="1"/>
  <c r="R38" i="11" s="1"/>
  <c r="H40" i="11"/>
  <c r="H41" i="11"/>
  <c r="H42" i="11"/>
  <c r="P42" i="11" s="1"/>
  <c r="H36" i="11"/>
  <c r="G37" i="11"/>
  <c r="N37" i="11" s="1"/>
  <c r="G38" i="11"/>
  <c r="N38" i="11" s="1"/>
  <c r="G39" i="11"/>
  <c r="K39" i="11" s="1"/>
  <c r="G40" i="11"/>
  <c r="N40" i="11" s="1"/>
  <c r="Q40" i="11" s="1"/>
  <c r="R40" i="11" s="1"/>
  <c r="G41" i="11"/>
  <c r="N41" i="11" s="1"/>
  <c r="Q41" i="11" s="1"/>
  <c r="R41" i="11" s="1"/>
  <c r="G42" i="11"/>
  <c r="N42" i="11" s="1"/>
  <c r="Q42" i="11" s="1"/>
  <c r="R42" i="11" s="1"/>
  <c r="G36" i="11"/>
  <c r="K36" i="11" s="1"/>
  <c r="F37" i="11"/>
  <c r="F38" i="11"/>
  <c r="F39" i="11"/>
  <c r="F40" i="11"/>
  <c r="F41" i="11"/>
  <c r="F42" i="11"/>
  <c r="F36" i="11"/>
  <c r="E37" i="11"/>
  <c r="E38" i="11"/>
  <c r="E39" i="11"/>
  <c r="E40" i="11"/>
  <c r="E41" i="11"/>
  <c r="E42" i="11"/>
  <c r="E36" i="11"/>
  <c r="D37" i="11"/>
  <c r="O37" i="11" s="1"/>
  <c r="Q37" i="11" s="1"/>
  <c r="R37" i="11" s="1"/>
  <c r="D38" i="11"/>
  <c r="O38" i="11" s="1"/>
  <c r="D39" i="11"/>
  <c r="O39" i="11" s="1"/>
  <c r="D40" i="11"/>
  <c r="O40" i="11" s="1"/>
  <c r="D41" i="11"/>
  <c r="O41" i="11" s="1"/>
  <c r="D42" i="11"/>
  <c r="O42" i="11" s="1"/>
  <c r="D36" i="11"/>
  <c r="O36" i="11" s="1"/>
  <c r="Q36" i="11" s="1"/>
  <c r="R36" i="11" s="1"/>
  <c r="C37" i="11"/>
  <c r="L37" i="11" s="1"/>
  <c r="C38" i="11"/>
  <c r="L38" i="11" s="1"/>
  <c r="C39" i="11"/>
  <c r="L39" i="11" s="1"/>
  <c r="C40" i="11"/>
  <c r="L40" i="11" s="1"/>
  <c r="C41" i="11"/>
  <c r="L41" i="11" s="1"/>
  <c r="C42" i="11"/>
  <c r="L42" i="11" s="1"/>
  <c r="C36" i="11"/>
  <c r="L36" i="11" s="1"/>
  <c r="B28" i="11"/>
  <c r="D28" i="11" s="1"/>
  <c r="J21" i="11"/>
  <c r="J22" i="11" s="1"/>
  <c r="G21" i="11"/>
  <c r="G23" i="11" s="1"/>
  <c r="C21" i="11"/>
  <c r="C22" i="11" s="1"/>
  <c r="C16" i="11"/>
  <c r="C15" i="11"/>
  <c r="C14" i="11"/>
  <c r="C13" i="11"/>
  <c r="C12" i="11"/>
  <c r="C10" i="11"/>
  <c r="C11" i="11" s="1"/>
  <c r="C8" i="11"/>
  <c r="C7" i="11"/>
  <c r="C6" i="11"/>
  <c r="D17" i="11"/>
  <c r="C17" i="11" s="1"/>
  <c r="D9" i="11"/>
  <c r="C9" i="11" s="1"/>
  <c r="D5" i="11"/>
  <c r="C5" i="11" s="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4" i="1"/>
  <c r="C4"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C201" i="1"/>
  <c r="C326" i="1"/>
  <c r="C89" i="1"/>
  <c r="C266" i="1"/>
  <c r="C54" i="1"/>
  <c r="C185" i="1"/>
  <c r="C289" i="1"/>
  <c r="C123" i="1"/>
  <c r="C230" i="1"/>
  <c r="C311" i="1"/>
  <c r="C106" i="1"/>
  <c r="C202" i="1"/>
  <c r="C337" i="1"/>
  <c r="C74" i="1"/>
  <c r="C215" i="1"/>
  <c r="C327" i="1"/>
  <c r="C146" i="1"/>
  <c r="C186" i="1"/>
  <c r="C357" i="1"/>
  <c r="C90" i="1"/>
  <c r="C254" i="1"/>
  <c r="C338" i="1"/>
  <c r="C55" i="1"/>
  <c r="C164" i="1"/>
  <c r="C290" i="1"/>
  <c r="C124" i="1"/>
  <c r="C165" i="1"/>
  <c r="C291" i="1"/>
  <c r="C107" i="1"/>
  <c r="C216" i="1"/>
  <c r="C358" i="1"/>
  <c r="C56" i="1"/>
  <c r="C166" i="1"/>
  <c r="C312" i="1"/>
  <c r="C125" i="1"/>
  <c r="C242" i="1"/>
  <c r="C292" i="1"/>
  <c r="C75" i="1"/>
  <c r="C203" i="1"/>
  <c r="C349" i="1"/>
  <c r="C91" i="1"/>
  <c r="C217" i="1"/>
  <c r="C313" i="1"/>
  <c r="C126" i="1"/>
  <c r="C187" i="1"/>
  <c r="C359" i="1"/>
  <c r="C92" i="1"/>
  <c r="C267" i="1"/>
  <c r="C339" i="1"/>
  <c r="C57" i="1"/>
  <c r="C167" i="1"/>
  <c r="C293" i="1"/>
  <c r="C127" i="1"/>
  <c r="C168" i="1"/>
  <c r="C294" i="1"/>
  <c r="C147" i="1"/>
  <c r="C188" i="1"/>
  <c r="C76" i="1"/>
  <c r="C204" i="1"/>
  <c r="C314" i="1"/>
  <c r="C108" i="1"/>
  <c r="C231" i="1"/>
  <c r="C340" i="1"/>
  <c r="C58" i="1"/>
  <c r="C189" i="1"/>
  <c r="C276" i="1"/>
  <c r="C109" i="1"/>
  <c r="C218" i="1"/>
  <c r="C350" i="1"/>
  <c r="C93" i="1"/>
  <c r="C243" i="1"/>
  <c r="C315" i="1"/>
  <c r="C128" i="1"/>
  <c r="C190" i="1"/>
  <c r="C341" i="1"/>
  <c r="C59" i="1"/>
  <c r="C148" i="1"/>
  <c r="C295" i="1"/>
  <c r="C129" i="1"/>
  <c r="C169" i="1"/>
  <c r="C277" i="1"/>
  <c r="C94" i="1"/>
  <c r="C255" i="1"/>
  <c r="C296" i="1"/>
  <c r="C130" i="1"/>
  <c r="C170" i="1"/>
  <c r="C316" i="1"/>
  <c r="C38" i="1"/>
  <c r="C191" i="1"/>
  <c r="C297" i="1"/>
  <c r="C95" i="1"/>
  <c r="C219" i="1"/>
  <c r="C351" i="1"/>
  <c r="C96" i="1"/>
  <c r="C244" i="1"/>
  <c r="C317" i="1"/>
  <c r="C131" i="1"/>
  <c r="C192" i="1"/>
  <c r="C342" i="1"/>
  <c r="C60" i="1"/>
  <c r="C149" i="1"/>
  <c r="C298" i="1"/>
  <c r="C132" i="1"/>
  <c r="C171" i="1"/>
  <c r="C278" i="1"/>
  <c r="C97" i="1"/>
  <c r="C256" i="1"/>
  <c r="C299" i="1"/>
  <c r="C133" i="1"/>
  <c r="C172" i="1"/>
  <c r="C279" i="1"/>
  <c r="C61" i="1"/>
  <c r="C150" i="1"/>
  <c r="C300" i="1"/>
  <c r="C273" i="1"/>
  <c r="C16" i="1"/>
  <c r="C157" i="1"/>
  <c r="C263" i="1"/>
  <c r="C85" i="1"/>
  <c r="C211" i="1"/>
  <c r="C323" i="1"/>
  <c r="C50" i="1"/>
  <c r="C198" i="1"/>
  <c r="C284" i="1"/>
  <c r="C23" i="1"/>
  <c r="C182" i="1"/>
  <c r="C274" i="1"/>
  <c r="C119" i="1"/>
  <c r="C141" i="1"/>
  <c r="C365" i="1"/>
  <c r="C33" i="1"/>
  <c r="C227" i="1"/>
  <c r="C334" i="1"/>
  <c r="C69" i="1"/>
  <c r="C142" i="1"/>
  <c r="C239" i="1"/>
  <c r="C34" i="1"/>
  <c r="C251" i="1"/>
  <c r="C307" i="1"/>
  <c r="C104" i="1"/>
  <c r="C158" i="1"/>
  <c r="C355" i="1"/>
  <c r="C70" i="1"/>
  <c r="C285" i="1"/>
  <c r="C24" i="1"/>
  <c r="C183" i="1"/>
  <c r="C252" i="1"/>
  <c r="C86" i="1"/>
  <c r="C228" i="1"/>
  <c r="C335" i="1"/>
  <c r="C71" i="1"/>
  <c r="C212" i="1"/>
  <c r="C308" i="1"/>
  <c r="C35" i="1"/>
  <c r="C159" i="1"/>
  <c r="C286" i="1"/>
  <c r="C143" i="1"/>
  <c r="C160" i="1"/>
  <c r="C366" i="1"/>
  <c r="C51" i="1"/>
  <c r="C240" i="1"/>
  <c r="C348" i="1"/>
  <c r="C87" i="1"/>
  <c r="C120" i="1"/>
  <c r="C264" i="1"/>
  <c r="C36" i="1"/>
  <c r="C241" i="1"/>
  <c r="C324" i="1"/>
  <c r="C121" i="1"/>
  <c r="C199" i="1"/>
  <c r="C372" i="1"/>
  <c r="C72" i="1"/>
  <c r="C275" i="1"/>
  <c r="C25" i="1"/>
  <c r="C161" i="1"/>
  <c r="C265" i="1"/>
  <c r="C105" i="1"/>
  <c r="C200" i="1"/>
  <c r="C309" i="1"/>
  <c r="C122" i="1"/>
  <c r="C229" i="1"/>
  <c r="C287" i="1"/>
  <c r="C52" i="1"/>
  <c r="C213" i="1"/>
  <c r="C325" i="1"/>
  <c r="C144" i="1"/>
  <c r="C184" i="1"/>
  <c r="C356" i="1"/>
  <c r="C88" i="1"/>
  <c r="C253" i="1"/>
  <c r="C336" i="1"/>
  <c r="C73" i="1"/>
  <c r="C214" i="1"/>
  <c r="C310" i="1"/>
  <c r="C37" i="1"/>
  <c r="C162" i="1"/>
  <c r="C288" i="1"/>
  <c r="C145" i="1"/>
  <c r="C163" i="1"/>
  <c r="C367" i="1"/>
  <c r="C53" i="1"/>
  <c r="C26" i="1"/>
  <c r="C301" i="1"/>
  <c r="C173" i="1"/>
  <c r="C373" i="1"/>
  <c r="C39" i="1"/>
  <c r="C257" i="1"/>
  <c r="C77" i="1"/>
  <c r="C10" i="1"/>
  <c r="C205" i="1"/>
  <c r="C40" i="1"/>
  <c r="C343" i="1"/>
  <c r="C151" i="1"/>
  <c r="C232" i="1"/>
  <c r="C17" i="1"/>
  <c r="C280" i="1"/>
  <c r="C110" i="1"/>
  <c r="C220" i="1"/>
  <c r="C6" i="1"/>
  <c r="C368" i="1"/>
  <c r="C134" i="1"/>
  <c r="C328" i="1"/>
  <c r="C62" i="1"/>
  <c r="C174" i="1"/>
  <c r="C245" i="1"/>
  <c r="C27" i="1"/>
  <c r="C193" i="1"/>
  <c r="C5" i="1"/>
  <c r="C268" i="1"/>
  <c r="C111" i="1"/>
  <c r="C360" i="1"/>
  <c r="C78" i="1"/>
  <c r="C41" i="1"/>
  <c r="C221" i="1"/>
  <c r="C318" i="1"/>
  <c r="C18" i="1"/>
  <c r="C152" i="1"/>
  <c r="C258" i="1"/>
  <c r="C11" i="1"/>
  <c r="C352" i="1"/>
  <c r="C135" i="1"/>
  <c r="C344" i="1"/>
  <c r="C63" i="1"/>
  <c r="C175" i="1"/>
  <c r="C246" i="1"/>
  <c r="C28" i="1"/>
  <c r="C99" i="1"/>
  <c r="C302" i="1"/>
  <c r="C206" i="1"/>
  <c r="C7" i="1"/>
  <c r="C369" i="1"/>
  <c r="C112" i="1"/>
  <c r="C233" i="1"/>
  <c r="C329" i="1"/>
  <c r="C42" i="1"/>
  <c r="C176" i="1"/>
  <c r="C19" i="1"/>
  <c r="C269" i="1"/>
  <c r="C64" i="1"/>
  <c r="C153" i="1"/>
  <c r="C370" i="1"/>
  <c r="C43" i="1"/>
  <c r="C234" i="1"/>
  <c r="C330" i="1"/>
  <c r="C12" i="1"/>
  <c r="C207" i="1"/>
  <c r="C319" i="1"/>
  <c r="C79" i="1"/>
  <c r="C136" i="1"/>
  <c r="C353" i="1"/>
  <c r="C113" i="1"/>
  <c r="C222" i="1"/>
  <c r="C303" i="1"/>
  <c r="C29" i="1"/>
  <c r="C259" i="1"/>
  <c r="C194" i="1"/>
  <c r="C361" i="1"/>
  <c r="C100" i="1"/>
  <c r="C345" i="1"/>
  <c r="C65" i="1"/>
  <c r="C177" i="1"/>
  <c r="C247" i="1"/>
  <c r="C8" i="1"/>
  <c r="C374" i="1"/>
  <c r="C44" i="1"/>
  <c r="C137" i="1"/>
  <c r="C20" i="1"/>
  <c r="C235" i="1"/>
  <c r="C320" i="1"/>
  <c r="C80" i="1"/>
  <c r="C178" i="1"/>
  <c r="C45" i="1"/>
  <c r="C270" i="1"/>
  <c r="C375" i="1"/>
  <c r="C114" i="1"/>
  <c r="C223" i="1"/>
  <c r="C331" i="1"/>
  <c r="C13" i="1"/>
  <c r="C208" i="1"/>
  <c r="C304" i="1"/>
  <c r="C81" i="1"/>
  <c r="C154" i="1"/>
  <c r="C354" i="1"/>
  <c r="C115" i="1"/>
  <c r="C224" i="1"/>
  <c r="C281" i="1"/>
  <c r="C66" i="1"/>
  <c r="C179" i="1"/>
  <c r="C248" i="1"/>
  <c r="C30" i="1"/>
  <c r="C260" i="1"/>
  <c r="C195" i="1"/>
  <c r="C362" i="1"/>
  <c r="C101" i="1"/>
  <c r="C82" i="1"/>
  <c r="C236" i="1"/>
  <c r="C346" i="1"/>
  <c r="C46" i="1"/>
  <c r="C155" i="1"/>
  <c r="C261" i="1"/>
  <c r="C376" i="1"/>
  <c r="C116" i="1"/>
  <c r="C209" i="1"/>
  <c r="C282" i="1"/>
  <c r="C14" i="1"/>
  <c r="C196" i="1"/>
  <c r="C305" i="1"/>
  <c r="C102" i="1"/>
  <c r="C138" i="1"/>
  <c r="C363" i="1"/>
  <c r="C47" i="1"/>
  <c r="C237" i="1"/>
  <c r="C332" i="1"/>
  <c r="C21" i="1"/>
  <c r="C225" i="1"/>
  <c r="C321" i="1"/>
  <c r="C67" i="1"/>
  <c r="C180" i="1"/>
  <c r="C271" i="1"/>
  <c r="C31" i="1"/>
  <c r="C249" i="1"/>
  <c r="C117" i="1"/>
  <c r="C333" i="1"/>
  <c r="C9" i="1"/>
  <c r="C139" i="1"/>
  <c r="C262" i="1"/>
  <c r="C83" i="1"/>
  <c r="C210" i="1"/>
  <c r="C306" i="1"/>
  <c r="C48" i="1"/>
  <c r="C181" i="1"/>
  <c r="C272" i="1"/>
  <c r="C15" i="1"/>
  <c r="C197" i="1"/>
  <c r="C283" i="1"/>
  <c r="C103" i="1"/>
  <c r="C118" i="1"/>
  <c r="C371" i="1"/>
  <c r="C32" i="1"/>
  <c r="C226" i="1"/>
  <c r="C347" i="1"/>
  <c r="C68" i="1"/>
  <c r="C156" i="1"/>
  <c r="C250" i="1"/>
  <c r="C22" i="1"/>
  <c r="C238" i="1"/>
  <c r="C322" i="1"/>
  <c r="C84" i="1"/>
  <c r="C140" i="1"/>
  <c r="C364" i="1"/>
  <c r="C49" i="1"/>
  <c r="C98" i="1"/>
  <c r="L40" i="12" l="1"/>
  <c r="M156" i="12"/>
  <c r="L16" i="12"/>
  <c r="M20" i="12"/>
  <c r="L28" i="12"/>
  <c r="M40" i="12"/>
  <c r="L44" i="12"/>
  <c r="M48" i="12"/>
  <c r="M52" i="12"/>
  <c r="M60" i="12"/>
  <c r="L68" i="12"/>
  <c r="M72" i="12"/>
  <c r="M80" i="12"/>
  <c r="M84" i="12"/>
  <c r="M96" i="12"/>
  <c r="M100" i="12"/>
  <c r="M104" i="12"/>
  <c r="L108" i="12"/>
  <c r="M112" i="12"/>
  <c r="M116" i="12"/>
  <c r="M120" i="12"/>
  <c r="L124" i="12"/>
  <c r="L132" i="12"/>
  <c r="L140" i="12"/>
  <c r="L148" i="12"/>
  <c r="L156" i="12"/>
  <c r="L164" i="12"/>
  <c r="L172" i="12"/>
  <c r="L180" i="12"/>
  <c r="L188" i="12"/>
  <c r="L196" i="12"/>
  <c r="L204" i="12"/>
  <c r="L212" i="12"/>
  <c r="L220" i="12"/>
  <c r="L228" i="12"/>
  <c r="L236" i="12"/>
  <c r="L244" i="12"/>
  <c r="L252" i="12"/>
  <c r="L260" i="12"/>
  <c r="L268" i="12"/>
  <c r="L276" i="12"/>
  <c r="L284" i="12"/>
  <c r="M288" i="12"/>
  <c r="M292" i="12"/>
  <c r="M296" i="12"/>
  <c r="M300" i="12"/>
  <c r="M304" i="12"/>
  <c r="M308" i="12"/>
  <c r="M312" i="12"/>
  <c r="M316" i="12"/>
  <c r="M320" i="12"/>
  <c r="M324" i="12"/>
  <c r="M328" i="12"/>
  <c r="M332" i="12"/>
  <c r="M336" i="12"/>
  <c r="M340" i="12"/>
  <c r="M344" i="12"/>
  <c r="M348" i="12"/>
  <c r="M352" i="12"/>
  <c r="M356" i="12"/>
  <c r="M360" i="12"/>
  <c r="M364" i="12"/>
  <c r="M368" i="12"/>
  <c r="L372" i="12"/>
  <c r="M376" i="12"/>
  <c r="L368" i="12"/>
  <c r="L336" i="12"/>
  <c r="L304" i="12"/>
  <c r="M372" i="12"/>
  <c r="M92" i="12"/>
  <c r="M276" i="12"/>
  <c r="K364" i="12"/>
  <c r="L332" i="12"/>
  <c r="L300" i="12"/>
  <c r="L352" i="12"/>
  <c r="L320" i="12"/>
  <c r="M212" i="12"/>
  <c r="L129" i="12"/>
  <c r="L376" i="12"/>
  <c r="L360" i="12"/>
  <c r="L344" i="12"/>
  <c r="L328" i="12"/>
  <c r="L312" i="12"/>
  <c r="L296" i="12"/>
  <c r="L225" i="12"/>
  <c r="L116" i="12"/>
  <c r="L84" i="12"/>
  <c r="L20" i="12"/>
  <c r="M260" i="12"/>
  <c r="M196" i="12"/>
  <c r="M148" i="12"/>
  <c r="L257" i="12"/>
  <c r="M349" i="12"/>
  <c r="L31" i="12"/>
  <c r="L356" i="12"/>
  <c r="L340" i="12"/>
  <c r="L324" i="12"/>
  <c r="L308" i="12"/>
  <c r="L292" i="12"/>
  <c r="L193" i="12"/>
  <c r="L101" i="12"/>
  <c r="L80" i="12"/>
  <c r="M236" i="12"/>
  <c r="M177" i="12"/>
  <c r="M132" i="12"/>
  <c r="M49" i="12"/>
  <c r="M134" i="12"/>
  <c r="M138" i="12"/>
  <c r="M150" i="12"/>
  <c r="M154" i="12"/>
  <c r="M166" i="12"/>
  <c r="M170" i="12"/>
  <c r="M182" i="12"/>
  <c r="M186" i="12"/>
  <c r="M198" i="12"/>
  <c r="M202" i="12"/>
  <c r="M214" i="12"/>
  <c r="M218" i="12"/>
  <c r="M230" i="12"/>
  <c r="M234" i="12"/>
  <c r="M246" i="12"/>
  <c r="M250" i="12"/>
  <c r="M262" i="12"/>
  <c r="M266" i="12"/>
  <c r="M278" i="12"/>
  <c r="M282" i="12"/>
  <c r="L294" i="12"/>
  <c r="L298" i="12"/>
  <c r="L310" i="12"/>
  <c r="L326" i="12"/>
  <c r="L288" i="12"/>
  <c r="L161" i="12"/>
  <c r="L100" i="12"/>
  <c r="L60" i="12"/>
  <c r="M284" i="12"/>
  <c r="M220" i="12"/>
  <c r="M172" i="12"/>
  <c r="M108" i="12"/>
  <c r="M44" i="12"/>
  <c r="W12" i="12"/>
  <c r="M6" i="12"/>
  <c r="M10" i="12"/>
  <c r="L10" i="12"/>
  <c r="M18" i="12"/>
  <c r="L18" i="12"/>
  <c r="M30" i="12"/>
  <c r="L30" i="12"/>
  <c r="M38" i="12"/>
  <c r="L38" i="12"/>
  <c r="M46" i="12"/>
  <c r="L46" i="12"/>
  <c r="M54" i="12"/>
  <c r="L54" i="12"/>
  <c r="M62" i="12"/>
  <c r="L62" i="12"/>
  <c r="M70" i="12"/>
  <c r="L70" i="12"/>
  <c r="M74" i="12"/>
  <c r="L74" i="12"/>
  <c r="M82" i="12"/>
  <c r="L82" i="12"/>
  <c r="M94" i="12"/>
  <c r="L94" i="12"/>
  <c r="M98" i="12"/>
  <c r="L98" i="12"/>
  <c r="M110" i="12"/>
  <c r="L110" i="12"/>
  <c r="M122" i="12"/>
  <c r="L122" i="12"/>
  <c r="M126" i="12"/>
  <c r="L126" i="12"/>
  <c r="M130" i="12"/>
  <c r="L130" i="12"/>
  <c r="M146" i="12"/>
  <c r="L146" i="12"/>
  <c r="M162" i="12"/>
  <c r="L162" i="12"/>
  <c r="M174" i="12"/>
  <c r="L174" i="12"/>
  <c r="M190" i="12"/>
  <c r="L190" i="12"/>
  <c r="M206" i="12"/>
  <c r="L206" i="12"/>
  <c r="M210" i="12"/>
  <c r="L210" i="12"/>
  <c r="M222" i="12"/>
  <c r="L222" i="12"/>
  <c r="M226" i="12"/>
  <c r="L226" i="12"/>
  <c r="M254" i="12"/>
  <c r="L254" i="12"/>
  <c r="M290" i="12"/>
  <c r="L290" i="12"/>
  <c r="M302" i="12"/>
  <c r="L302" i="12"/>
  <c r="M306" i="12"/>
  <c r="L306" i="12"/>
  <c r="M318" i="12"/>
  <c r="L318" i="12"/>
  <c r="M322" i="12"/>
  <c r="L322" i="12"/>
  <c r="M330" i="12"/>
  <c r="L330" i="12"/>
  <c r="M334" i="12"/>
  <c r="L334" i="12"/>
  <c r="M342" i="12"/>
  <c r="L342" i="12"/>
  <c r="M350" i="12"/>
  <c r="L350" i="12"/>
  <c r="M354" i="12"/>
  <c r="L354" i="12"/>
  <c r="M358" i="12"/>
  <c r="L358" i="12"/>
  <c r="M366" i="12"/>
  <c r="L366" i="12"/>
  <c r="L278" i="12"/>
  <c r="L267" i="12"/>
  <c r="L246" i="12"/>
  <c r="L235" i="12"/>
  <c r="L214" i="12"/>
  <c r="L203" i="12"/>
  <c r="L182" i="12"/>
  <c r="L139" i="12"/>
  <c r="M326" i="12"/>
  <c r="R16" i="12"/>
  <c r="M13" i="12"/>
  <c r="L13" i="12"/>
  <c r="L17" i="12"/>
  <c r="M17" i="12"/>
  <c r="M21" i="12"/>
  <c r="L21" i="12"/>
  <c r="L25" i="12"/>
  <c r="M25" i="12"/>
  <c r="L33" i="12"/>
  <c r="M33" i="12"/>
  <c r="L41" i="12"/>
  <c r="M41" i="12"/>
  <c r="M45" i="12"/>
  <c r="L45" i="12"/>
  <c r="L57" i="12"/>
  <c r="M57" i="12"/>
  <c r="M61" i="12"/>
  <c r="L61" i="12"/>
  <c r="L73" i="12"/>
  <c r="M73" i="12"/>
  <c r="M77" i="12"/>
  <c r="L77" i="12"/>
  <c r="M93" i="12"/>
  <c r="L93" i="12"/>
  <c r="L97" i="12"/>
  <c r="M97" i="12"/>
  <c r="M105" i="12"/>
  <c r="L105" i="12"/>
  <c r="M117" i="12"/>
  <c r="L117" i="12"/>
  <c r="M141" i="12"/>
  <c r="L141" i="12"/>
  <c r="M173" i="12"/>
  <c r="L173" i="12"/>
  <c r="M185" i="12"/>
  <c r="L185" i="12"/>
  <c r="M201" i="12"/>
  <c r="L201" i="12"/>
  <c r="M205" i="12"/>
  <c r="L205" i="12"/>
  <c r="M221" i="12"/>
  <c r="L221" i="12"/>
  <c r="M249" i="12"/>
  <c r="L249" i="12"/>
  <c r="M253" i="12"/>
  <c r="L253" i="12"/>
  <c r="M265" i="12"/>
  <c r="L265" i="12"/>
  <c r="M269" i="12"/>
  <c r="L269" i="12"/>
  <c r="M285" i="12"/>
  <c r="L285" i="12"/>
  <c r="L289" i="12"/>
  <c r="M289" i="12"/>
  <c r="M301" i="12"/>
  <c r="L301" i="12"/>
  <c r="L305" i="12"/>
  <c r="M305" i="12"/>
  <c r="M341" i="12"/>
  <c r="L341" i="12"/>
  <c r="L345" i="12"/>
  <c r="M345" i="12"/>
  <c r="M373" i="12"/>
  <c r="L373" i="12"/>
  <c r="L375" i="12"/>
  <c r="L359" i="12"/>
  <c r="L343" i="12"/>
  <c r="L327" i="12"/>
  <c r="L311" i="12"/>
  <c r="L295" i="12"/>
  <c r="L255" i="12"/>
  <c r="L223" i="12"/>
  <c r="L191" i="12"/>
  <c r="L159" i="12"/>
  <c r="L138" i="12"/>
  <c r="M369" i="12"/>
  <c r="M321" i="12"/>
  <c r="M294" i="12"/>
  <c r="R15" i="12"/>
  <c r="M8" i="12"/>
  <c r="M12" i="12"/>
  <c r="L12" i="12"/>
  <c r="M16" i="12"/>
  <c r="M24" i="12"/>
  <c r="L24" i="12"/>
  <c r="M32" i="12"/>
  <c r="L32" i="12"/>
  <c r="M36" i="12"/>
  <c r="L36" i="12"/>
  <c r="M56" i="12"/>
  <c r="L56" i="12"/>
  <c r="M64" i="12"/>
  <c r="L64" i="12"/>
  <c r="M76" i="12"/>
  <c r="L76" i="12"/>
  <c r="M88" i="12"/>
  <c r="L88" i="12"/>
  <c r="L283" i="12"/>
  <c r="L273" i="12"/>
  <c r="L262" i="12"/>
  <c r="L251" i="12"/>
  <c r="L241" i="12"/>
  <c r="L230" i="12"/>
  <c r="L219" i="12"/>
  <c r="L209" i="12"/>
  <c r="L198" i="12"/>
  <c r="L187" i="12"/>
  <c r="L166" i="12"/>
  <c r="L155" i="12"/>
  <c r="L145" i="12"/>
  <c r="L134" i="12"/>
  <c r="L123" i="12"/>
  <c r="L109" i="12"/>
  <c r="L95" i="12"/>
  <c r="L72" i="12"/>
  <c r="L52" i="12"/>
  <c r="L8" i="12"/>
  <c r="M361" i="12"/>
  <c r="M310" i="12"/>
  <c r="M113" i="12"/>
  <c r="M68" i="12"/>
  <c r="M28" i="12"/>
  <c r="M14" i="12"/>
  <c r="L14" i="12"/>
  <c r="M22" i="12"/>
  <c r="L22" i="12"/>
  <c r="M26" i="12"/>
  <c r="L26" i="12"/>
  <c r="M34" i="12"/>
  <c r="L34" i="12"/>
  <c r="M42" i="12"/>
  <c r="L42" i="12"/>
  <c r="M50" i="12"/>
  <c r="L50" i="12"/>
  <c r="M58" i="12"/>
  <c r="L58" i="12"/>
  <c r="M66" i="12"/>
  <c r="L66" i="12"/>
  <c r="M78" i="12"/>
  <c r="L78" i="12"/>
  <c r="M86" i="12"/>
  <c r="L86" i="12"/>
  <c r="M90" i="12"/>
  <c r="L90" i="12"/>
  <c r="M102" i="12"/>
  <c r="L102" i="12"/>
  <c r="M106" i="12"/>
  <c r="L106" i="12"/>
  <c r="M114" i="12"/>
  <c r="L114" i="12"/>
  <c r="M118" i="12"/>
  <c r="L118" i="12"/>
  <c r="M142" i="12"/>
  <c r="L142" i="12"/>
  <c r="M158" i="12"/>
  <c r="L158" i="12"/>
  <c r="M178" i="12"/>
  <c r="L178" i="12"/>
  <c r="M194" i="12"/>
  <c r="L194" i="12"/>
  <c r="M238" i="12"/>
  <c r="L238" i="12"/>
  <c r="M242" i="12"/>
  <c r="L242" i="12"/>
  <c r="M258" i="12"/>
  <c r="L258" i="12"/>
  <c r="M270" i="12"/>
  <c r="L270" i="12"/>
  <c r="M274" i="12"/>
  <c r="L274" i="12"/>
  <c r="M286" i="12"/>
  <c r="L286" i="12"/>
  <c r="M314" i="12"/>
  <c r="L314" i="12"/>
  <c r="M338" i="12"/>
  <c r="L338" i="12"/>
  <c r="M346" i="12"/>
  <c r="L346" i="12"/>
  <c r="M362" i="12"/>
  <c r="L362" i="12"/>
  <c r="M370" i="12"/>
  <c r="L370" i="12"/>
  <c r="M374" i="12"/>
  <c r="L374" i="12"/>
  <c r="M378" i="12"/>
  <c r="L378" i="12"/>
  <c r="L171" i="12"/>
  <c r="L150" i="12"/>
  <c r="L63" i="12"/>
  <c r="M298" i="12"/>
  <c r="K6" i="12"/>
  <c r="R18" i="12"/>
  <c r="L9" i="12"/>
  <c r="M9" i="12"/>
  <c r="M29" i="12"/>
  <c r="L29" i="12"/>
  <c r="M37" i="12"/>
  <c r="L37" i="12"/>
  <c r="M53" i="12"/>
  <c r="L53" i="12"/>
  <c r="M69" i="12"/>
  <c r="L69" i="12"/>
  <c r="L81" i="12"/>
  <c r="M81" i="12"/>
  <c r="M85" i="12"/>
  <c r="L85" i="12"/>
  <c r="L89" i="12"/>
  <c r="M89" i="12"/>
  <c r="M125" i="12"/>
  <c r="L125" i="12"/>
  <c r="M137" i="12"/>
  <c r="L137" i="12"/>
  <c r="M153" i="12"/>
  <c r="L153" i="12"/>
  <c r="M157" i="12"/>
  <c r="L157" i="12"/>
  <c r="M169" i="12"/>
  <c r="L169" i="12"/>
  <c r="M189" i="12"/>
  <c r="L189" i="12"/>
  <c r="M217" i="12"/>
  <c r="L217" i="12"/>
  <c r="M233" i="12"/>
  <c r="L233" i="12"/>
  <c r="M237" i="12"/>
  <c r="L237" i="12"/>
  <c r="M281" i="12"/>
  <c r="L281" i="12"/>
  <c r="M293" i="12"/>
  <c r="L293" i="12"/>
  <c r="M297" i="12"/>
  <c r="L297" i="12"/>
  <c r="M313" i="12"/>
  <c r="L313" i="12"/>
  <c r="M317" i="12"/>
  <c r="L317" i="12"/>
  <c r="M325" i="12"/>
  <c r="L325" i="12"/>
  <c r="M329" i="12"/>
  <c r="L329" i="12"/>
  <c r="M333" i="12"/>
  <c r="L333" i="12"/>
  <c r="M353" i="12"/>
  <c r="L353" i="12"/>
  <c r="L365" i="12"/>
  <c r="M365" i="12"/>
  <c r="L377" i="12"/>
  <c r="M377" i="12"/>
  <c r="L367" i="12"/>
  <c r="L351" i="12"/>
  <c r="L335" i="12"/>
  <c r="L319" i="12"/>
  <c r="L303" i="12"/>
  <c r="L287" i="12"/>
  <c r="L277" i="12"/>
  <c r="L266" i="12"/>
  <c r="L245" i="12"/>
  <c r="L234" i="12"/>
  <c r="L213" i="12"/>
  <c r="L202" i="12"/>
  <c r="L181" i="12"/>
  <c r="L170" i="12"/>
  <c r="L149" i="12"/>
  <c r="L127" i="12"/>
  <c r="L115" i="12"/>
  <c r="L39" i="12"/>
  <c r="M7" i="12"/>
  <c r="M11" i="12"/>
  <c r="L11" i="12"/>
  <c r="M15" i="12"/>
  <c r="L15" i="12"/>
  <c r="M19" i="12"/>
  <c r="L19" i="12"/>
  <c r="M23" i="12"/>
  <c r="L23" i="12"/>
  <c r="M27" i="12"/>
  <c r="L27" i="12"/>
  <c r="M31" i="12"/>
  <c r="M35" i="12"/>
  <c r="L35" i="12"/>
  <c r="L47" i="12"/>
  <c r="L79" i="12"/>
  <c r="L99" i="12"/>
  <c r="L131" i="12"/>
  <c r="L147" i="12"/>
  <c r="L163" i="12"/>
  <c r="L179" i="12"/>
  <c r="L195" i="12"/>
  <c r="L211" i="12"/>
  <c r="L227" i="12"/>
  <c r="L243" i="12"/>
  <c r="L259" i="12"/>
  <c r="L275" i="12"/>
  <c r="L6" i="12"/>
  <c r="L371" i="12"/>
  <c r="L363" i="12"/>
  <c r="L355" i="12"/>
  <c r="L347" i="12"/>
  <c r="L339" i="12"/>
  <c r="L331" i="12"/>
  <c r="L323" i="12"/>
  <c r="L315" i="12"/>
  <c r="L307" i="12"/>
  <c r="L299" i="12"/>
  <c r="L291" i="12"/>
  <c r="L282" i="12"/>
  <c r="L271" i="12"/>
  <c r="L261" i="12"/>
  <c r="L250" i="12"/>
  <c r="L239" i="12"/>
  <c r="L229" i="12"/>
  <c r="L218" i="12"/>
  <c r="L207" i="12"/>
  <c r="L197" i="12"/>
  <c r="L186" i="12"/>
  <c r="L175" i="12"/>
  <c r="L165" i="12"/>
  <c r="L154" i="12"/>
  <c r="L143" i="12"/>
  <c r="L133" i="12"/>
  <c r="L121" i="12"/>
  <c r="L107" i="12"/>
  <c r="L71" i="12"/>
  <c r="L48" i="12"/>
  <c r="L7" i="12"/>
  <c r="M357" i="12"/>
  <c r="M337" i="12"/>
  <c r="M309" i="12"/>
  <c r="M65" i="12"/>
  <c r="M128" i="12"/>
  <c r="L128" i="12"/>
  <c r="M136" i="12"/>
  <c r="L136" i="12"/>
  <c r="M144" i="12"/>
  <c r="L144" i="12"/>
  <c r="M152" i="12"/>
  <c r="L152" i="12"/>
  <c r="M160" i="12"/>
  <c r="L160" i="12"/>
  <c r="M168" i="12"/>
  <c r="L168" i="12"/>
  <c r="M176" i="12"/>
  <c r="L176" i="12"/>
  <c r="M184" i="12"/>
  <c r="L184" i="12"/>
  <c r="M192" i="12"/>
  <c r="L192" i="12"/>
  <c r="M200" i="12"/>
  <c r="L200" i="12"/>
  <c r="M208" i="12"/>
  <c r="L208" i="12"/>
  <c r="M216" i="12"/>
  <c r="L216" i="12"/>
  <c r="M224" i="12"/>
  <c r="L224" i="12"/>
  <c r="M232" i="12"/>
  <c r="L232" i="12"/>
  <c r="M240" i="12"/>
  <c r="L240" i="12"/>
  <c r="M248" i="12"/>
  <c r="L248" i="12"/>
  <c r="M256" i="12"/>
  <c r="L256" i="12"/>
  <c r="M264" i="12"/>
  <c r="L264" i="12"/>
  <c r="M272" i="12"/>
  <c r="L272" i="12"/>
  <c r="M280" i="12"/>
  <c r="L280" i="12"/>
  <c r="L120" i="12"/>
  <c r="L112" i="12"/>
  <c r="M252" i="12"/>
  <c r="M228" i="12"/>
  <c r="M188" i="12"/>
  <c r="M164" i="12"/>
  <c r="M124" i="12"/>
  <c r="M39" i="12"/>
  <c r="M43" i="12"/>
  <c r="L43" i="12"/>
  <c r="M47" i="12"/>
  <c r="M51" i="12"/>
  <c r="L51" i="12"/>
  <c r="M55" i="12"/>
  <c r="M59" i="12"/>
  <c r="L59" i="12"/>
  <c r="M63" i="12"/>
  <c r="M67" i="12"/>
  <c r="L67" i="12"/>
  <c r="M71" i="12"/>
  <c r="M75" i="12"/>
  <c r="L75" i="12"/>
  <c r="M79" i="12"/>
  <c r="M83" i="12"/>
  <c r="L83" i="12"/>
  <c r="M87" i="12"/>
  <c r="M91" i="12"/>
  <c r="L91" i="12"/>
  <c r="M95" i="12"/>
  <c r="M99" i="12"/>
  <c r="M103" i="12"/>
  <c r="L103" i="12"/>
  <c r="M107" i="12"/>
  <c r="M111" i="12"/>
  <c r="M115" i="12"/>
  <c r="M119" i="12"/>
  <c r="L119" i="12"/>
  <c r="M123" i="12"/>
  <c r="M127" i="12"/>
  <c r="M131" i="12"/>
  <c r="M135" i="12"/>
  <c r="M139" i="12"/>
  <c r="M143" i="12"/>
  <c r="M147" i="12"/>
  <c r="M151" i="12"/>
  <c r="M155" i="12"/>
  <c r="M159" i="12"/>
  <c r="M163" i="12"/>
  <c r="M167" i="12"/>
  <c r="M171" i="12"/>
  <c r="M175" i="12"/>
  <c r="M179" i="12"/>
  <c r="M183" i="12"/>
  <c r="M187" i="12"/>
  <c r="M191" i="12"/>
  <c r="M195" i="12"/>
  <c r="M199" i="12"/>
  <c r="M203" i="12"/>
  <c r="M207" i="12"/>
  <c r="M211" i="12"/>
  <c r="M215" i="12"/>
  <c r="M219" i="12"/>
  <c r="M223" i="12"/>
  <c r="M227" i="12"/>
  <c r="M231" i="12"/>
  <c r="M235" i="12"/>
  <c r="M239" i="12"/>
  <c r="M243" i="12"/>
  <c r="M247" i="12"/>
  <c r="M251" i="12"/>
  <c r="M255" i="12"/>
  <c r="M259" i="12"/>
  <c r="M263" i="12"/>
  <c r="M267" i="12"/>
  <c r="M271" i="12"/>
  <c r="M275" i="12"/>
  <c r="M279" i="12"/>
  <c r="M283" i="12"/>
  <c r="M287" i="12"/>
  <c r="M291" i="12"/>
  <c r="M295" i="12"/>
  <c r="M299" i="12"/>
  <c r="M303" i="12"/>
  <c r="M307" i="12"/>
  <c r="M311" i="12"/>
  <c r="M315" i="12"/>
  <c r="M319" i="12"/>
  <c r="M323" i="12"/>
  <c r="M327" i="12"/>
  <c r="M331" i="12"/>
  <c r="M335" i="12"/>
  <c r="M339" i="12"/>
  <c r="M343" i="12"/>
  <c r="M347" i="12"/>
  <c r="M351" i="12"/>
  <c r="M355" i="12"/>
  <c r="M359" i="12"/>
  <c r="M363" i="12"/>
  <c r="M367" i="12"/>
  <c r="M371" i="12"/>
  <c r="M375" i="12"/>
  <c r="L279" i="12"/>
  <c r="L263" i="12"/>
  <c r="L247" i="12"/>
  <c r="L231" i="12"/>
  <c r="L215" i="12"/>
  <c r="L199" i="12"/>
  <c r="L183" i="12"/>
  <c r="L167" i="12"/>
  <c r="L151" i="12"/>
  <c r="L135" i="12"/>
  <c r="L111" i="12"/>
  <c r="L104" i="12"/>
  <c r="L96" i="12"/>
  <c r="L87" i="12"/>
  <c r="L55" i="12"/>
  <c r="M268" i="12"/>
  <c r="M244" i="12"/>
  <c r="M204" i="12"/>
  <c r="M180" i="12"/>
  <c r="M140" i="12"/>
  <c r="K41" i="11"/>
  <c r="K38" i="11"/>
  <c r="N36" i="11"/>
  <c r="K37" i="11"/>
  <c r="N39" i="11"/>
  <c r="Q39" i="11" s="1"/>
  <c r="R39" i="11" s="1"/>
  <c r="K40" i="11"/>
  <c r="C28" i="11"/>
  <c r="J23" i="11"/>
  <c r="G22" i="11"/>
  <c r="C23" i="11"/>
  <c r="V8" i="12" l="1"/>
  <c r="V7" i="12"/>
</calcChain>
</file>

<file path=xl/sharedStrings.xml><?xml version="1.0" encoding="utf-8"?>
<sst xmlns="http://schemas.openxmlformats.org/spreadsheetml/2006/main" count="2662" uniqueCount="350">
  <si>
    <t>Age</t>
  </si>
  <si>
    <t>Gender</t>
  </si>
  <si>
    <t>Education Level</t>
  </si>
  <si>
    <t>Job Title</t>
  </si>
  <si>
    <t>Years of Experience</t>
  </si>
  <si>
    <t>Salary</t>
  </si>
  <si>
    <t>Male</t>
  </si>
  <si>
    <t>Bachelor's</t>
  </si>
  <si>
    <t>Software Engineer</t>
  </si>
  <si>
    <t>Female</t>
  </si>
  <si>
    <t>Master's</t>
  </si>
  <si>
    <t>Data Analyst</t>
  </si>
  <si>
    <t>PhD</t>
  </si>
  <si>
    <t>Senior Manager</t>
  </si>
  <si>
    <t>Sales Associate</t>
  </si>
  <si>
    <t>Director</t>
  </si>
  <si>
    <t>Marketing Analyst</t>
  </si>
  <si>
    <t>Product Manager</t>
  </si>
  <si>
    <t>Sales Manager</t>
  </si>
  <si>
    <t>Marketing Coordinator</t>
  </si>
  <si>
    <t>Senior Scientist</t>
  </si>
  <si>
    <t>Software Developer</t>
  </si>
  <si>
    <t>HR Manager</t>
  </si>
  <si>
    <t>Financial Analyst</t>
  </si>
  <si>
    <t>Project Manager</t>
  </si>
  <si>
    <t>Customer Service Rep</t>
  </si>
  <si>
    <t>Operations Manager</t>
  </si>
  <si>
    <t>Marketing Manager</t>
  </si>
  <si>
    <t>Senior Engineer</t>
  </si>
  <si>
    <t>Data Entry Clerk</t>
  </si>
  <si>
    <t>Sales Director</t>
  </si>
  <si>
    <t>Business Analyst</t>
  </si>
  <si>
    <t>VP of Operations</t>
  </si>
  <si>
    <t>IT Support</t>
  </si>
  <si>
    <t>Recruiter</t>
  </si>
  <si>
    <t>Financial Manager</t>
  </si>
  <si>
    <t>Social Media Specialist</t>
  </si>
  <si>
    <t>Software Manager</t>
  </si>
  <si>
    <t>Junior Developer</t>
  </si>
  <si>
    <t>Senior Consultant</t>
  </si>
  <si>
    <t>Product Designer</t>
  </si>
  <si>
    <t>CEO</t>
  </si>
  <si>
    <t>Accountant</t>
  </si>
  <si>
    <t>Data Scientist</t>
  </si>
  <si>
    <t>Marketing Specialist</t>
  </si>
  <si>
    <t>Technical Writer</t>
  </si>
  <si>
    <t>HR Generalist</t>
  </si>
  <si>
    <t>Project Engineer</t>
  </si>
  <si>
    <t>Customer Success Rep</t>
  </si>
  <si>
    <t>Sales Executive</t>
  </si>
  <si>
    <t>UX Designer</t>
  </si>
  <si>
    <t>Operations Director</t>
  </si>
  <si>
    <t>Network Engineer</t>
  </si>
  <si>
    <t>Administrative Assistant</t>
  </si>
  <si>
    <t>Strategy Consultant</t>
  </si>
  <si>
    <t>Copywriter</t>
  </si>
  <si>
    <t>Account Manager</t>
  </si>
  <si>
    <t>Director of Marketing</t>
  </si>
  <si>
    <t>Help Desk Analyst</t>
  </si>
  <si>
    <t>Customer Service Manager</t>
  </si>
  <si>
    <t>Business Intelligence Analyst</t>
  </si>
  <si>
    <t>Event Coordinator</t>
  </si>
  <si>
    <t>VP of Finance</t>
  </si>
  <si>
    <t>Graphic Designer</t>
  </si>
  <si>
    <t>UX Researcher</t>
  </si>
  <si>
    <t>Social Media Manager</t>
  </si>
  <si>
    <t>Director of Operations</t>
  </si>
  <si>
    <t>Senior Data Scientist</t>
  </si>
  <si>
    <t>Junior Accountant</t>
  </si>
  <si>
    <t>Digital Marketing Manager</t>
  </si>
  <si>
    <t>IT Manager</t>
  </si>
  <si>
    <t>Customer Service Representative</t>
  </si>
  <si>
    <t>Business Development Manager</t>
  </si>
  <si>
    <t>Senior Financial Analyst</t>
  </si>
  <si>
    <t>Web Developer</t>
  </si>
  <si>
    <t>Research Director</t>
  </si>
  <si>
    <t>Technical Support Specialist</t>
  </si>
  <si>
    <t>Creative Director</t>
  </si>
  <si>
    <t>Senior Software Engineer</t>
  </si>
  <si>
    <t>Human Resources Director</t>
  </si>
  <si>
    <t>Content Marketing Manager</t>
  </si>
  <si>
    <t>Technical Recruiter</t>
  </si>
  <si>
    <t>Sales Representative</t>
  </si>
  <si>
    <t>Chief Technology Officer</t>
  </si>
  <si>
    <t>Junior Designer</t>
  </si>
  <si>
    <t>Financial Advisor</t>
  </si>
  <si>
    <t>Junior Account Manager</t>
  </si>
  <si>
    <t>Senior Project Manager</t>
  </si>
  <si>
    <t>Principal Scientist</t>
  </si>
  <si>
    <t>Supply Chain Manager</t>
  </si>
  <si>
    <t>Senior Marketing Manager</t>
  </si>
  <si>
    <t>Training Specialist</t>
  </si>
  <si>
    <t>Research Scientist</t>
  </si>
  <si>
    <t>Junior Software Developer</t>
  </si>
  <si>
    <t>Public Relations Manager</t>
  </si>
  <si>
    <t>Operations Analyst</t>
  </si>
  <si>
    <t>Product Marketing Manager</t>
  </si>
  <si>
    <t>Senior HR Manager</t>
  </si>
  <si>
    <t>Junior Web Developer</t>
  </si>
  <si>
    <t>Senior Project Coordinator</t>
  </si>
  <si>
    <t>Chief Data Officer</t>
  </si>
  <si>
    <t>Digital Content Producer</t>
  </si>
  <si>
    <t>IT Support Specialist</t>
  </si>
  <si>
    <t>Senior Marketing Analyst</t>
  </si>
  <si>
    <t>Customer Success Manager</t>
  </si>
  <si>
    <t>Senior Graphic Designer</t>
  </si>
  <si>
    <t>Software Project Manager</t>
  </si>
  <si>
    <t>Supply Chain Analyst</t>
  </si>
  <si>
    <t>Senior Business Analyst</t>
  </si>
  <si>
    <t>Junior Marketing Analyst</t>
  </si>
  <si>
    <t>Office Manager</t>
  </si>
  <si>
    <t>Principal Engineer</t>
  </si>
  <si>
    <t>Junior HR Generalist</t>
  </si>
  <si>
    <t>Senior Product Manager</t>
  </si>
  <si>
    <t>Junior Operations Analyst</t>
  </si>
  <si>
    <t>Senior HR Generalist</t>
  </si>
  <si>
    <t>Sales Operations Manager</t>
  </si>
  <si>
    <t>Senior Software Developer</t>
  </si>
  <si>
    <t>Junior Web Designer</t>
  </si>
  <si>
    <t>Senior Training Specialist</t>
  </si>
  <si>
    <t>Senior Research Scientist</t>
  </si>
  <si>
    <t>Junior Sales Representative</t>
  </si>
  <si>
    <t>Junior Marketing Manager</t>
  </si>
  <si>
    <t>Junior Data Analyst</t>
  </si>
  <si>
    <t>Senior Product Marketing Manager</t>
  </si>
  <si>
    <t>Junior Business Analyst</t>
  </si>
  <si>
    <t>Senior Sales Manager</t>
  </si>
  <si>
    <t>Junior Marketing Specialist</t>
  </si>
  <si>
    <t>Junior Project Manager</t>
  </si>
  <si>
    <t>Senior Accountant</t>
  </si>
  <si>
    <t>Director of Sales</t>
  </si>
  <si>
    <t>Junior Recruiter</t>
  </si>
  <si>
    <t>Senior Business Development Manager</t>
  </si>
  <si>
    <t>Senior Product Designer</t>
  </si>
  <si>
    <t>Junior Customer Support Specialist</t>
  </si>
  <si>
    <t>Senior IT Support Specialist</t>
  </si>
  <si>
    <t>Junior Financial Analyst</t>
  </si>
  <si>
    <t>Senior Operations Manager</t>
  </si>
  <si>
    <t>Director of Human Resources</t>
  </si>
  <si>
    <t>Junior Software Engineer</t>
  </si>
  <si>
    <t>Senior Sales Representative</t>
  </si>
  <si>
    <t>Director of Product Management</t>
  </si>
  <si>
    <t>Junior Copywriter</t>
  </si>
  <si>
    <t>Senior Marketing Coordinator</t>
  </si>
  <si>
    <t>Senior Human Resources Manager</t>
  </si>
  <si>
    <t>Junior Business Development Associate</t>
  </si>
  <si>
    <t>Senior Account Manager</t>
  </si>
  <si>
    <t>Senior Researcher</t>
  </si>
  <si>
    <t>Junior HR Coordinator</t>
  </si>
  <si>
    <t>Director of Finance</t>
  </si>
  <si>
    <t>Junior Marketing Coordinator</t>
  </si>
  <si>
    <t>Junior Data Scientist</t>
  </si>
  <si>
    <t>Senior Operations Analyst</t>
  </si>
  <si>
    <t>Senior Human Resources Coordinator</t>
  </si>
  <si>
    <t>Senior UX Designer</t>
  </si>
  <si>
    <t>Junior Product Manager</t>
  </si>
  <si>
    <t>Senior Marketing Specialist</t>
  </si>
  <si>
    <t>Senior IT Project Manager</t>
  </si>
  <si>
    <t>Senior Quality Assurance Analyst</t>
  </si>
  <si>
    <t>Director of Sales and Marketing</t>
  </si>
  <si>
    <t>Senior Account Executive</t>
  </si>
  <si>
    <t>Director of Business Development</t>
  </si>
  <si>
    <t>Junior Social Media Manager</t>
  </si>
  <si>
    <t>Senior Human Resources Specialist</t>
  </si>
  <si>
    <t>Senior Data Analyst</t>
  </si>
  <si>
    <t>Director of Human Capital</t>
  </si>
  <si>
    <t>Junior Advertising Coordinator</t>
  </si>
  <si>
    <t>Junior UX Designer</t>
  </si>
  <si>
    <t>Senior Marketing Director</t>
  </si>
  <si>
    <t>Senior IT Consultant</t>
  </si>
  <si>
    <t>Senior Financial Advisor</t>
  </si>
  <si>
    <t>Junior Business Operations Analyst</t>
  </si>
  <si>
    <t>Junior Social Media Specialist</t>
  </si>
  <si>
    <t>Senior Product Development Manager</t>
  </si>
  <si>
    <t>Junior Operations Manager</t>
  </si>
  <si>
    <t>Senior Software Architect</t>
  </si>
  <si>
    <t>Junior Research Scientist</t>
  </si>
  <si>
    <t>Senior Financial Manager</t>
  </si>
  <si>
    <t>Senior HR Specialist</t>
  </si>
  <si>
    <t>Senior Data Engineer</t>
  </si>
  <si>
    <t>Junior Operations Coordinator</t>
  </si>
  <si>
    <t>Director of HR</t>
  </si>
  <si>
    <t>Senior Operations Coordinator</t>
  </si>
  <si>
    <t>Junior Financial Advisor</t>
  </si>
  <si>
    <t>Director of Engineering</t>
  </si>
  <si>
    <t>Age Group</t>
  </si>
  <si>
    <t>Level</t>
  </si>
  <si>
    <t>Row Labels</t>
  </si>
  <si>
    <t>Experienced</t>
  </si>
  <si>
    <t>Fresher</t>
  </si>
  <si>
    <t>Grand Total</t>
  </si>
  <si>
    <t>Column Labels</t>
  </si>
  <si>
    <t>Count of Years of Experience</t>
  </si>
  <si>
    <t>Employee Salary</t>
  </si>
  <si>
    <t>Count of Salary</t>
  </si>
  <si>
    <t>Female Total</t>
  </si>
  <si>
    <t>Male Total</t>
  </si>
  <si>
    <t>Adult</t>
  </si>
  <si>
    <t>Senior</t>
  </si>
  <si>
    <t>Teenager</t>
  </si>
  <si>
    <t>CONSOLIDATING</t>
  </si>
  <si>
    <t>NAME</t>
  </si>
  <si>
    <t>Iqra</t>
  </si>
  <si>
    <t>Khadija</t>
  </si>
  <si>
    <t>Ayesha</t>
  </si>
  <si>
    <t>Hiba</t>
  </si>
  <si>
    <t>Muskan</t>
  </si>
  <si>
    <t>Sanskruti</t>
  </si>
  <si>
    <t>SALES</t>
  </si>
  <si>
    <t>PURCHASE</t>
  </si>
  <si>
    <t>muskan</t>
  </si>
  <si>
    <t>sanskruti</t>
  </si>
  <si>
    <t>DATE  FUNCTION</t>
  </si>
  <si>
    <t>DAY</t>
  </si>
  <si>
    <t>DAYS</t>
  </si>
  <si>
    <t>HOUR</t>
  </si>
  <si>
    <t>MINUTE</t>
  </si>
  <si>
    <t>MONTH</t>
  </si>
  <si>
    <t>NOW</t>
  </si>
  <si>
    <t>SECOND</t>
  </si>
  <si>
    <t>TODAY</t>
  </si>
  <si>
    <t>WEEKDAY</t>
  </si>
  <si>
    <t>WEEKNUM</t>
  </si>
  <si>
    <t>WORKDAY</t>
  </si>
  <si>
    <t>YEAR</t>
  </si>
  <si>
    <r>
      <t xml:space="preserve">                    </t>
    </r>
    <r>
      <rPr>
        <sz val="11"/>
        <color rgb="FFFF0000"/>
        <rFont val="Calibri"/>
        <family val="2"/>
        <scheme val="minor"/>
      </rPr>
      <t xml:space="preserve">  DATES</t>
    </r>
  </si>
  <si>
    <t>TIME</t>
  </si>
  <si>
    <t>Adding and subtracting  days</t>
  </si>
  <si>
    <t>Date</t>
  </si>
  <si>
    <t>Date + 5 days</t>
  </si>
  <si>
    <t>Date - 5 days</t>
  </si>
  <si>
    <t>Adding and subtracting months</t>
  </si>
  <si>
    <t>EDATE</t>
  </si>
  <si>
    <t>Date + 10 months</t>
  </si>
  <si>
    <t>Date - 10 months</t>
  </si>
  <si>
    <t>Adding and subtracting Years</t>
  </si>
  <si>
    <t>Date + 10 years</t>
  </si>
  <si>
    <t>Date - 10 years</t>
  </si>
  <si>
    <t>Last date of month</t>
  </si>
  <si>
    <t>First date of month</t>
  </si>
  <si>
    <t>EOMONTH</t>
  </si>
  <si>
    <t>TEXT  FUNCTIONS</t>
  </si>
  <si>
    <t>SURNAME</t>
  </si>
  <si>
    <t>Dalvi</t>
  </si>
  <si>
    <t>iqra</t>
  </si>
  <si>
    <t>khadija</t>
  </si>
  <si>
    <t>ayesha</t>
  </si>
  <si>
    <t>hiba</t>
  </si>
  <si>
    <t>tehseen</t>
  </si>
  <si>
    <t>khot</t>
  </si>
  <si>
    <t>shaikh</t>
  </si>
  <si>
    <t>khan</t>
  </si>
  <si>
    <t>rajput</t>
  </si>
  <si>
    <t>UPPER</t>
  </si>
  <si>
    <t>LOWER</t>
  </si>
  <si>
    <t>PROPER</t>
  </si>
  <si>
    <t>LENGTH</t>
  </si>
  <si>
    <t>CONCATENATE</t>
  </si>
  <si>
    <t>&amp;</t>
  </si>
  <si>
    <t>DOLLAR</t>
  </si>
  <si>
    <t>EXACT</t>
  </si>
  <si>
    <t>FIND</t>
  </si>
  <si>
    <t>LEFT</t>
  </si>
  <si>
    <t>RIGHT</t>
  </si>
  <si>
    <t>MIDDLE</t>
  </si>
  <si>
    <t>REPLACE</t>
  </si>
  <si>
    <t>SEARCH</t>
  </si>
  <si>
    <t>SUBSTITUTE</t>
  </si>
  <si>
    <t>TRIM</t>
  </si>
  <si>
    <t>REPEAT</t>
  </si>
  <si>
    <t>2020 DATA</t>
  </si>
  <si>
    <t>2021  DATA</t>
  </si>
  <si>
    <t xml:space="preserve">           2020/2021 TOTAL SALE</t>
  </si>
  <si>
    <t>Whole Nos.</t>
  </si>
  <si>
    <t>Text Length</t>
  </si>
  <si>
    <t>Drop Down List</t>
  </si>
  <si>
    <t>10 TO 20</t>
  </si>
  <si>
    <t xml:space="preserve"> 2 TO 5</t>
  </si>
  <si>
    <t>AA</t>
  </si>
  <si>
    <t>ss</t>
  </si>
  <si>
    <t>sddf</t>
  </si>
  <si>
    <t>list</t>
  </si>
  <si>
    <t>apple</t>
  </si>
  <si>
    <t>mango</t>
  </si>
  <si>
    <t>banana</t>
  </si>
  <si>
    <t>orange</t>
  </si>
  <si>
    <t>1/1/2020 to 1/1/2021</t>
  </si>
  <si>
    <t>DATA VALIDATION</t>
  </si>
  <si>
    <t>Bonous</t>
  </si>
  <si>
    <t>IF</t>
  </si>
  <si>
    <t>OR</t>
  </si>
  <si>
    <t>condition :Female/fresher</t>
  </si>
  <si>
    <t>AND</t>
  </si>
  <si>
    <t>Any 1 condition is true:-true</t>
  </si>
  <si>
    <t>All the condition will be True:-True</t>
  </si>
  <si>
    <t>condition :Adult/Male/Experienced</t>
  </si>
  <si>
    <t>IF-OR</t>
  </si>
  <si>
    <t>Condition:-Senior/Experiencd</t>
  </si>
  <si>
    <t>IF-AND</t>
  </si>
  <si>
    <t>Condtion:-Female/Master's</t>
  </si>
  <si>
    <t>If any one condition will be true they will get bonus</t>
  </si>
  <si>
    <t>If all the condition will be true then they will get the bonus</t>
  </si>
  <si>
    <t>NA</t>
  </si>
  <si>
    <t xml:space="preserve">                      IFERROR</t>
  </si>
  <si>
    <t>COUNTIFS</t>
  </si>
  <si>
    <t>&gt;=30</t>
  </si>
  <si>
    <t xml:space="preserve">        COUNTIF</t>
  </si>
  <si>
    <t xml:space="preserve">     Count</t>
  </si>
  <si>
    <t>Count</t>
  </si>
  <si>
    <t xml:space="preserve">                      SUMIF</t>
  </si>
  <si>
    <t xml:space="preserve">      SUMIFS</t>
  </si>
  <si>
    <t xml:space="preserve">   Bonus</t>
  </si>
  <si>
    <t>protected Sheet</t>
  </si>
  <si>
    <t>NAMED   RANGES</t>
  </si>
  <si>
    <t>DATE &amp; TEXT FUNCTION</t>
  </si>
  <si>
    <t>LOGICAL FUNCTIONS</t>
  </si>
  <si>
    <t>REFERENCE  FUNCTION</t>
  </si>
  <si>
    <t>VLOOKUP</t>
  </si>
  <si>
    <t>EMP.ID</t>
  </si>
  <si>
    <t>HLOOKUP</t>
  </si>
  <si>
    <t>RANGES</t>
  </si>
  <si>
    <t xml:space="preserve"> OWN LIST</t>
  </si>
  <si>
    <t xml:space="preserve">              EMPLOYEE SALARY DATA</t>
  </si>
  <si>
    <t>IQRA</t>
  </si>
  <si>
    <t>MUSKAN</t>
  </si>
  <si>
    <t>HIBA</t>
  </si>
  <si>
    <t>PYTHON</t>
  </si>
  <si>
    <t>SQL</t>
  </si>
  <si>
    <t>ML</t>
  </si>
  <si>
    <t>TOTAL</t>
  </si>
  <si>
    <t>SANSKRUTI</t>
  </si>
  <si>
    <t>EXCEL</t>
  </si>
  <si>
    <t>MARKS OBTAINED</t>
  </si>
  <si>
    <t>PERCENTAGE %</t>
  </si>
  <si>
    <t xml:space="preserve">              RESULT</t>
  </si>
  <si>
    <t>ctrl+shift+i</t>
  </si>
  <si>
    <t>RELATIVE   REFERENCE</t>
  </si>
  <si>
    <t>ABSOLUTE   REFERENCE</t>
  </si>
  <si>
    <t>RESULT</t>
  </si>
  <si>
    <t>EMPLOYEE SALARY AND BONUS</t>
  </si>
  <si>
    <t>OBTAINED MARKS</t>
  </si>
  <si>
    <t>TOTAL MARKS</t>
  </si>
  <si>
    <t>EMPLOYEE NAME</t>
  </si>
  <si>
    <t>SALARY</t>
  </si>
  <si>
    <t>SALARY + BONUS</t>
  </si>
  <si>
    <t>Priyanka</t>
  </si>
  <si>
    <t>Tahira</t>
  </si>
  <si>
    <t>Sans</t>
  </si>
  <si>
    <t>Hibah</t>
  </si>
  <si>
    <t>FORMULA  REFERENCING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</si>
</sst>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quot;₹&quot;\ #,##0.00"/>
  </numFmts>
  <fonts count="3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theme="4"/>
      <name val="Arial Rounded MT Bold"/>
      <family val="2"/>
    </font>
    <font>
      <sz val="22"/>
      <color theme="0"/>
      <name val="Bahnschrift"/>
      <family val="2"/>
    </font>
    <font>
      <sz val="12"/>
      <color theme="1"/>
      <name val="Calibri"/>
      <family val="2"/>
      <scheme val="minor"/>
    </font>
    <font>
      <b/>
      <sz val="16"/>
      <color theme="1"/>
      <name val="Bahnschrift"/>
      <family val="2"/>
    </font>
    <font>
      <sz val="11"/>
      <color theme="4"/>
      <name val="Calibri"/>
      <family val="2"/>
      <scheme val="minor"/>
    </font>
    <font>
      <b/>
      <sz val="11"/>
      <color theme="4"/>
      <name val="Calibri"/>
      <family val="2"/>
      <scheme val="minor"/>
    </font>
    <font>
      <b/>
      <sz val="11"/>
      <color theme="4"/>
      <name val="Bahnschrift"/>
      <family val="2"/>
    </font>
    <font>
      <b/>
      <sz val="12"/>
      <color theme="1"/>
      <name val="Calibri"/>
      <family val="2"/>
      <scheme val="minor"/>
    </font>
    <font>
      <sz val="72"/>
      <color theme="1"/>
      <name val="Calibri"/>
      <family val="2"/>
      <scheme val="minor"/>
    </font>
    <font>
      <b/>
      <sz val="16"/>
      <color theme="0"/>
      <name val="Calibri"/>
      <family val="2"/>
      <scheme val="minor"/>
    </font>
    <font>
      <b/>
      <sz val="18"/>
      <color theme="0"/>
      <name val="Calibri"/>
      <family val="2"/>
      <scheme val="minor"/>
    </font>
    <font>
      <b/>
      <sz val="20"/>
      <color theme="0"/>
      <name val="Calibri"/>
      <family val="2"/>
      <scheme val="minor"/>
    </font>
    <font>
      <b/>
      <u/>
      <sz val="22"/>
      <color theme="0"/>
      <name val="Calibri"/>
      <family val="2"/>
      <scheme val="minor"/>
    </font>
    <font>
      <b/>
      <u/>
      <sz val="18"/>
      <color theme="0"/>
      <name val="Calibri"/>
      <family val="2"/>
      <scheme val="minor"/>
    </font>
    <font>
      <b/>
      <sz val="18"/>
      <color theme="1"/>
      <name val="Calibri"/>
      <family val="2"/>
      <scheme val="minor"/>
    </font>
    <font>
      <b/>
      <u/>
      <sz val="20"/>
      <color theme="0"/>
      <name val="Calibri"/>
      <family val="2"/>
      <scheme val="minor"/>
    </font>
    <font>
      <b/>
      <sz val="14"/>
      <color theme="1"/>
      <name val="Calibri"/>
      <family val="2"/>
      <scheme val="minor"/>
    </font>
    <font>
      <b/>
      <sz val="11"/>
      <color theme="1"/>
      <name val="Bahnschrift"/>
      <family val="2"/>
    </font>
    <font>
      <b/>
      <sz val="22"/>
      <color theme="1"/>
      <name val="Bahnschrift"/>
      <family val="2"/>
    </font>
    <font>
      <b/>
      <sz val="14"/>
      <color theme="1"/>
      <name val="Arial"/>
      <family val="2"/>
    </font>
    <font>
      <sz val="28"/>
      <color theme="4"/>
      <name val="Calibri"/>
      <family val="2"/>
      <scheme val="minor"/>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8"/>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rgb="FFFF0000"/>
        <bgColor indexed="64"/>
      </patternFill>
    </fill>
    <fill>
      <patternFill patternType="solid">
        <fgColor theme="9" tint="0.39994506668294322"/>
        <bgColor indexed="64"/>
      </patternFill>
    </fill>
    <fill>
      <patternFill patternType="solid">
        <fgColor theme="5" tint="0.39994506668294322"/>
        <bgColor indexed="64"/>
      </patternFill>
    </fill>
    <fill>
      <patternFill patternType="solid">
        <fgColor theme="5" tint="0.59999389629810485"/>
        <bgColor indexed="64"/>
      </patternFill>
    </fill>
    <fill>
      <patternFill patternType="solid">
        <fgColor theme="4" tint="0.79998168889431442"/>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style="thin">
        <color indexed="64"/>
      </top>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2">
    <xf numFmtId="0" fontId="0" fillId="0" borderId="0" xfId="0"/>
    <xf numFmtId="0" fontId="18" fillId="33" borderId="0" xfId="0" applyFont="1" applyFill="1" applyAlignment="1">
      <alignment horizontal="center" vertical="center"/>
    </xf>
    <xf numFmtId="0" fontId="0" fillId="0" borderId="0" xfId="0" pivotButton="1"/>
    <xf numFmtId="0" fontId="0" fillId="0" borderId="0" xfId="0" applyAlignment="1">
      <alignment horizontal="left"/>
    </xf>
    <xf numFmtId="10" fontId="0" fillId="0" borderId="0" xfId="0" applyNumberFormat="1"/>
    <xf numFmtId="0" fontId="0" fillId="34" borderId="0" xfId="0" applyFill="1"/>
    <xf numFmtId="0" fontId="19" fillId="35" borderId="0" xfId="0" applyFont="1" applyFill="1"/>
    <xf numFmtId="0" fontId="16" fillId="0" borderId="0" xfId="0" applyFont="1"/>
    <xf numFmtId="0" fontId="0" fillId="0" borderId="0" xfId="0" applyAlignment="1">
      <alignment horizontal="center"/>
    </xf>
    <xf numFmtId="0" fontId="0" fillId="36" borderId="10" xfId="0" applyFill="1" applyBorder="1"/>
    <xf numFmtId="0" fontId="0" fillId="40" borderId="10" xfId="0" applyFill="1" applyBorder="1"/>
    <xf numFmtId="0" fontId="0" fillId="37" borderId="10" xfId="0" applyFill="1" applyBorder="1"/>
    <xf numFmtId="0" fontId="0" fillId="39" borderId="10" xfId="0" applyFill="1" applyBorder="1"/>
    <xf numFmtId="0" fontId="0" fillId="0" borderId="10" xfId="0" applyBorder="1"/>
    <xf numFmtId="0" fontId="0" fillId="36" borderId="10" xfId="0" applyFill="1" applyBorder="1" applyAlignment="1">
      <alignment horizontal="center" wrapText="1"/>
    </xf>
    <xf numFmtId="0" fontId="0" fillId="41" borderId="10" xfId="0" applyFill="1" applyBorder="1"/>
    <xf numFmtId="14" fontId="0" fillId="0" borderId="0" xfId="0" applyNumberFormat="1"/>
    <xf numFmtId="0" fontId="0" fillId="39" borderId="10" xfId="0" applyFill="1" applyBorder="1" applyAlignment="1">
      <alignment horizontal="center"/>
    </xf>
    <xf numFmtId="14" fontId="0" fillId="42" borderId="10" xfId="0" applyNumberFormat="1" applyFill="1" applyBorder="1"/>
    <xf numFmtId="164" fontId="0" fillId="0" borderId="10" xfId="0" applyNumberFormat="1" applyBorder="1"/>
    <xf numFmtId="22" fontId="0" fillId="41" borderId="10" xfId="0" applyNumberFormat="1" applyFill="1" applyBorder="1"/>
    <xf numFmtId="18" fontId="0" fillId="41" borderId="10" xfId="0" applyNumberFormat="1" applyFill="1" applyBorder="1"/>
    <xf numFmtId="14" fontId="0" fillId="41" borderId="10" xfId="0" applyNumberFormat="1" applyFill="1" applyBorder="1"/>
    <xf numFmtId="164" fontId="0" fillId="41" borderId="10" xfId="0" applyNumberFormat="1" applyFill="1" applyBorder="1"/>
    <xf numFmtId="14" fontId="0" fillId="43" borderId="10" xfId="0" applyNumberFormat="1" applyFill="1" applyBorder="1"/>
    <xf numFmtId="0" fontId="16" fillId="0" borderId="0" xfId="0" applyFont="1" applyAlignment="1">
      <alignment horizontal="left"/>
    </xf>
    <xf numFmtId="0" fontId="16" fillId="40" borderId="10" xfId="0" applyFont="1" applyFill="1" applyBorder="1" applyAlignment="1">
      <alignment horizontal="left"/>
    </xf>
    <xf numFmtId="14" fontId="0" fillId="43" borderId="12" xfId="0" applyNumberFormat="1" applyFill="1" applyBorder="1"/>
    <xf numFmtId="164" fontId="0" fillId="43" borderId="12" xfId="0" applyNumberFormat="1" applyFill="1" applyBorder="1"/>
    <xf numFmtId="0" fontId="0" fillId="40" borderId="11" xfId="0" applyFill="1" applyBorder="1"/>
    <xf numFmtId="0" fontId="16" fillId="40" borderId="11" xfId="0" applyFont="1" applyFill="1" applyBorder="1" applyAlignment="1">
      <alignment horizontal="left"/>
    </xf>
    <xf numFmtId="0" fontId="0" fillId="40" borderId="13" xfId="0" applyFill="1" applyBorder="1"/>
    <xf numFmtId="0" fontId="0" fillId="40" borderId="12" xfId="0" applyFill="1" applyBorder="1"/>
    <xf numFmtId="0" fontId="16" fillId="43" borderId="11" xfId="0" applyFont="1" applyFill="1" applyBorder="1"/>
    <xf numFmtId="0" fontId="0" fillId="43" borderId="12" xfId="0" applyFill="1" applyBorder="1"/>
    <xf numFmtId="14" fontId="0" fillId="40" borderId="10" xfId="0" applyNumberFormat="1" applyFill="1" applyBorder="1" applyAlignment="1">
      <alignment horizontal="left"/>
    </xf>
    <xf numFmtId="164" fontId="0" fillId="44" borderId="10" xfId="0" applyNumberFormat="1" applyFill="1" applyBorder="1"/>
    <xf numFmtId="14" fontId="16" fillId="43" borderId="10" xfId="0" applyNumberFormat="1" applyFont="1" applyFill="1" applyBorder="1" applyAlignment="1">
      <alignment horizontal="left"/>
    </xf>
    <xf numFmtId="0" fontId="21" fillId="34" borderId="0" xfId="0" applyFont="1" applyFill="1"/>
    <xf numFmtId="0" fontId="21" fillId="34" borderId="0" xfId="0" applyFont="1" applyFill="1" applyAlignment="1">
      <alignment horizontal="left"/>
    </xf>
    <xf numFmtId="0" fontId="16" fillId="43" borderId="10" xfId="0" applyFont="1" applyFill="1" applyBorder="1"/>
    <xf numFmtId="0" fontId="16" fillId="43" borderId="10" xfId="0" applyFont="1" applyFill="1" applyBorder="1" applyAlignment="1">
      <alignment horizontal="left"/>
    </xf>
    <xf numFmtId="0" fontId="0" fillId="43" borderId="10" xfId="0" applyFill="1" applyBorder="1"/>
    <xf numFmtId="165" fontId="0" fillId="0" borderId="10" xfId="0" applyNumberFormat="1" applyBorder="1"/>
    <xf numFmtId="0" fontId="0" fillId="0" borderId="10" xfId="0" applyBorder="1" applyAlignment="1">
      <alignment horizontal="right"/>
    </xf>
    <xf numFmtId="0" fontId="0" fillId="36" borderId="10" xfId="0" applyFill="1" applyBorder="1" applyAlignment="1">
      <alignment horizontal="left"/>
    </xf>
    <xf numFmtId="0" fontId="18" fillId="33" borderId="10" xfId="0" applyFont="1" applyFill="1" applyBorder="1" applyAlignment="1">
      <alignment horizontal="center" vertical="center"/>
    </xf>
    <xf numFmtId="0" fontId="18" fillId="34" borderId="10" xfId="0" applyFont="1" applyFill="1" applyBorder="1" applyAlignment="1">
      <alignment horizontal="center" vertical="center"/>
    </xf>
    <xf numFmtId="165" fontId="0" fillId="0" borderId="0" xfId="0" applyNumberFormat="1"/>
    <xf numFmtId="0" fontId="18" fillId="33" borderId="11" xfId="0" applyFont="1" applyFill="1" applyBorder="1" applyAlignment="1">
      <alignment horizontal="center" vertical="center"/>
    </xf>
    <xf numFmtId="0" fontId="18" fillId="33" borderId="10" xfId="0" applyFont="1" applyFill="1" applyBorder="1" applyAlignment="1">
      <alignment horizontal="center" vertical="center" wrapText="1"/>
    </xf>
    <xf numFmtId="0" fontId="0" fillId="0" borderId="0" xfId="0" applyAlignment="1">
      <alignment wrapText="1"/>
    </xf>
    <xf numFmtId="0" fontId="0" fillId="0" borderId="10" xfId="0" applyBorder="1" applyAlignment="1">
      <alignment horizontal="center" wrapText="1"/>
    </xf>
    <xf numFmtId="0" fontId="23" fillId="34" borderId="10" xfId="0" applyFont="1" applyFill="1" applyBorder="1" applyAlignment="1">
      <alignment horizontal="center" vertical="center" wrapText="1"/>
    </xf>
    <xf numFmtId="0" fontId="24" fillId="34" borderId="10" xfId="0" applyFont="1" applyFill="1" applyBorder="1" applyAlignment="1">
      <alignment horizontal="center" vertical="center" wrapText="1"/>
    </xf>
    <xf numFmtId="0" fontId="0" fillId="0" borderId="0" xfId="0" applyAlignment="1">
      <alignment horizontal="right"/>
    </xf>
    <xf numFmtId="0" fontId="0" fillId="0" borderId="15" xfId="0" applyBorder="1"/>
    <xf numFmtId="0" fontId="0" fillId="42" borderId="16" xfId="0" applyFill="1" applyBorder="1"/>
    <xf numFmtId="0" fontId="0" fillId="42" borderId="16" xfId="0" applyFill="1" applyBorder="1" applyAlignment="1">
      <alignment horizontal="center"/>
    </xf>
    <xf numFmtId="0" fontId="0" fillId="42" borderId="18" xfId="0" applyFill="1" applyBorder="1"/>
    <xf numFmtId="0" fontId="14" fillId="0" borderId="10" xfId="0" applyFont="1" applyBorder="1" applyAlignment="1">
      <alignment horizontal="right"/>
    </xf>
    <xf numFmtId="0" fontId="14" fillId="0" borderId="15" xfId="0" applyFont="1" applyBorder="1"/>
    <xf numFmtId="0" fontId="22" fillId="0" borderId="15" xfId="0" applyFont="1" applyBorder="1"/>
    <xf numFmtId="0" fontId="0" fillId="43" borderId="15" xfId="0" applyFill="1" applyBorder="1"/>
    <xf numFmtId="165" fontId="18" fillId="33" borderId="11" xfId="0" applyNumberFormat="1" applyFont="1" applyFill="1" applyBorder="1" applyAlignment="1">
      <alignment horizontal="center" vertical="center"/>
    </xf>
    <xf numFmtId="165" fontId="0" fillId="0" borderId="11" xfId="0" applyNumberFormat="1" applyBorder="1"/>
    <xf numFmtId="0" fontId="0" fillId="0" borderId="21" xfId="0" applyBorder="1"/>
    <xf numFmtId="0" fontId="0" fillId="42" borderId="19" xfId="0" applyFill="1" applyBorder="1"/>
    <xf numFmtId="0" fontId="0" fillId="42" borderId="20" xfId="0" applyFill="1" applyBorder="1"/>
    <xf numFmtId="0" fontId="0" fillId="42" borderId="17" xfId="0" applyFill="1" applyBorder="1"/>
    <xf numFmtId="0" fontId="0" fillId="42" borderId="23" xfId="0" applyFill="1" applyBorder="1"/>
    <xf numFmtId="0" fontId="0" fillId="0" borderId="14" xfId="0" applyBorder="1"/>
    <xf numFmtId="0" fontId="0" fillId="0" borderId="22" xfId="0" applyBorder="1"/>
    <xf numFmtId="0" fontId="25" fillId="42" borderId="10" xfId="0" applyFont="1" applyFill="1" applyBorder="1" applyAlignment="1">
      <alignment horizontal="center"/>
    </xf>
    <xf numFmtId="0" fontId="0" fillId="41" borderId="10" xfId="0" applyFill="1" applyBorder="1" applyAlignment="1">
      <alignment horizontal="center" vertical="center" wrapText="1"/>
    </xf>
    <xf numFmtId="0" fontId="0" fillId="42" borderId="24" xfId="0" applyFill="1" applyBorder="1"/>
    <xf numFmtId="0" fontId="26" fillId="46" borderId="0" xfId="0" applyFont="1" applyFill="1"/>
    <xf numFmtId="0" fontId="0" fillId="46" borderId="0" xfId="0" applyFill="1"/>
    <xf numFmtId="0" fontId="27" fillId="46" borderId="0" xfId="0" applyFont="1" applyFill="1"/>
    <xf numFmtId="0" fontId="29" fillId="46" borderId="0" xfId="0" applyFont="1" applyFill="1"/>
    <xf numFmtId="0" fontId="29" fillId="46" borderId="0" xfId="0" applyFont="1" applyFill="1" applyAlignment="1">
      <alignment horizontal="left"/>
    </xf>
    <xf numFmtId="0" fontId="30" fillId="46" borderId="0" xfId="0" applyFont="1" applyFill="1" applyAlignment="1">
      <alignment vertical="center"/>
    </xf>
    <xf numFmtId="165" fontId="29" fillId="46" borderId="0" xfId="0" applyNumberFormat="1" applyFont="1" applyFill="1"/>
    <xf numFmtId="0" fontId="29" fillId="46" borderId="10" xfId="0" applyFont="1" applyFill="1" applyBorder="1"/>
    <xf numFmtId="14" fontId="0" fillId="37" borderId="10" xfId="0" applyNumberFormat="1" applyFill="1" applyBorder="1"/>
    <xf numFmtId="0" fontId="31" fillId="46" borderId="0" xfId="0" applyFont="1" applyFill="1"/>
    <xf numFmtId="0" fontId="32" fillId="34" borderId="0" xfId="0" applyFont="1" applyFill="1"/>
    <xf numFmtId="0" fontId="16" fillId="34" borderId="0" xfId="0" applyFont="1" applyFill="1"/>
    <xf numFmtId="0" fontId="25" fillId="0" borderId="15" xfId="0" applyFont="1" applyBorder="1"/>
    <xf numFmtId="0" fontId="20" fillId="43" borderId="15" xfId="0" applyFont="1" applyFill="1" applyBorder="1" applyAlignment="1">
      <alignment horizontal="center"/>
    </xf>
    <xf numFmtId="0" fontId="0" fillId="45" borderId="10" xfId="0" applyFill="1" applyBorder="1" applyAlignment="1">
      <alignment horizontal="center" vertical="center"/>
    </xf>
    <xf numFmtId="17" fontId="0" fillId="45" borderId="10" xfId="0" applyNumberFormat="1" applyFill="1" applyBorder="1" applyAlignment="1">
      <alignment horizontal="center" vertical="center"/>
    </xf>
    <xf numFmtId="0" fontId="0" fillId="45" borderId="10" xfId="0" applyFill="1" applyBorder="1" applyAlignment="1">
      <alignment horizontal="center" vertical="center" wrapText="1"/>
    </xf>
    <xf numFmtId="0" fontId="33" fillId="46" borderId="0" xfId="0" applyFont="1" applyFill="1"/>
    <xf numFmtId="0" fontId="18" fillId="34" borderId="10" xfId="0" applyFont="1" applyFill="1" applyBorder="1" applyAlignment="1">
      <alignment horizontal="center" vertical="center" wrapText="1"/>
    </xf>
    <xf numFmtId="0" fontId="35" fillId="34" borderId="0" xfId="0" applyFont="1" applyFill="1"/>
    <xf numFmtId="0" fontId="0" fillId="37" borderId="16" xfId="0" applyFill="1" applyBorder="1"/>
    <xf numFmtId="0" fontId="0" fillId="37" borderId="19" xfId="0" applyFill="1" applyBorder="1"/>
    <xf numFmtId="0" fontId="0" fillId="37" borderId="25" xfId="0" applyFill="1" applyBorder="1"/>
    <xf numFmtId="0" fontId="0" fillId="37" borderId="20" xfId="0" applyFill="1" applyBorder="1"/>
    <xf numFmtId="0" fontId="0" fillId="36" borderId="35" xfId="0" applyFill="1" applyBorder="1"/>
    <xf numFmtId="0" fontId="0" fillId="36" borderId="36" xfId="0" applyFill="1" applyBorder="1"/>
    <xf numFmtId="0" fontId="0" fillId="36" borderId="37" xfId="0" applyFill="1" applyBorder="1"/>
    <xf numFmtId="0" fontId="0" fillId="38" borderId="33" xfId="0" applyFill="1" applyBorder="1"/>
    <xf numFmtId="0" fontId="0" fillId="38" borderId="15" xfId="0" applyFill="1" applyBorder="1"/>
    <xf numFmtId="10" fontId="14" fillId="38" borderId="30" xfId="0" applyNumberFormat="1" applyFont="1" applyFill="1" applyBorder="1"/>
    <xf numFmtId="0" fontId="0" fillId="38" borderId="32" xfId="0" applyFill="1" applyBorder="1"/>
    <xf numFmtId="0" fontId="0" fillId="38" borderId="10" xfId="0" applyFill="1" applyBorder="1"/>
    <xf numFmtId="0" fontId="0" fillId="38" borderId="34" xfId="0" applyFill="1" applyBorder="1"/>
    <xf numFmtId="0" fontId="0" fillId="38" borderId="31" xfId="0" applyFill="1" applyBorder="1"/>
    <xf numFmtId="0" fontId="0" fillId="38" borderId="38" xfId="0" applyFill="1" applyBorder="1"/>
    <xf numFmtId="10" fontId="14" fillId="38" borderId="39" xfId="0" applyNumberFormat="1" applyFont="1" applyFill="1" applyBorder="1"/>
    <xf numFmtId="0" fontId="0" fillId="39" borderId="27" xfId="0" applyFill="1" applyBorder="1"/>
    <xf numFmtId="0" fontId="0" fillId="39" borderId="28" xfId="0" applyFill="1" applyBorder="1"/>
    <xf numFmtId="0" fontId="0" fillId="39" borderId="29" xfId="0" applyFill="1" applyBorder="1"/>
    <xf numFmtId="0" fontId="28" fillId="39" borderId="28" xfId="0" applyFont="1" applyFill="1" applyBorder="1"/>
    <xf numFmtId="0" fontId="0" fillId="37" borderId="26" xfId="0" applyFill="1" applyBorder="1"/>
    <xf numFmtId="0" fontId="0" fillId="47" borderId="35" xfId="0" applyFill="1" applyBorder="1"/>
    <xf numFmtId="0" fontId="0" fillId="47" borderId="36" xfId="0" applyFill="1" applyBorder="1"/>
    <xf numFmtId="0" fontId="0" fillId="47" borderId="37" xfId="0" applyFill="1" applyBorder="1"/>
    <xf numFmtId="0" fontId="0" fillId="48" borderId="27" xfId="0" applyFill="1" applyBorder="1"/>
    <xf numFmtId="0" fontId="0" fillId="48" borderId="28" xfId="0" applyFill="1" applyBorder="1"/>
    <xf numFmtId="0" fontId="0" fillId="48" borderId="29" xfId="0" applyFill="1" applyBorder="1"/>
    <xf numFmtId="0" fontId="28" fillId="48" borderId="28" xfId="0" applyFont="1" applyFill="1" applyBorder="1"/>
    <xf numFmtId="0" fontId="36" fillId="49" borderId="19" xfId="0" applyFont="1" applyFill="1" applyBorder="1" applyAlignment="1">
      <alignment horizontal="center"/>
    </xf>
    <xf numFmtId="0" fontId="0" fillId="49" borderId="25" xfId="0" applyFill="1" applyBorder="1" applyAlignment="1">
      <alignment horizontal="center"/>
    </xf>
    <xf numFmtId="0" fontId="0" fillId="49" borderId="20" xfId="0" applyFill="1" applyBorder="1" applyAlignment="1">
      <alignment horizontal="center"/>
    </xf>
    <xf numFmtId="0" fontId="36" fillId="49" borderId="17" xfId="0" applyFont="1" applyFill="1" applyBorder="1" applyAlignment="1">
      <alignment horizontal="center"/>
    </xf>
    <xf numFmtId="0" fontId="0" fillId="49" borderId="23" xfId="0" applyFill="1" applyBorder="1" applyAlignment="1">
      <alignment horizontal="center"/>
    </xf>
    <xf numFmtId="0" fontId="0" fillId="49" borderId="18" xfId="0" applyFill="1" applyBorder="1" applyAlignment="1">
      <alignment horizontal="center"/>
    </xf>
    <xf numFmtId="8" fontId="37" fillId="0" borderId="15" xfId="0" applyNumberFormat="1" applyFont="1" applyBorder="1" applyAlignment="1">
      <alignment horizontal="center" vertical="center"/>
    </xf>
    <xf numFmtId="0" fontId="0" fillId="0" borderId="0" xfId="0" applyAlignment="1">
      <alignment horizontal="center" vertical="center"/>
    </xf>
    <xf numFmtId="0" fontId="34" fillId="0" borderId="15" xfId="0" applyFont="1" applyBorder="1" applyAlignment="1">
      <alignment horizontal="center" vertical="center"/>
    </xf>
    <xf numFmtId="0" fontId="16" fillId="0" borderId="10" xfId="0" applyFont="1" applyBorder="1"/>
    <xf numFmtId="8" fontId="16" fillId="0" borderId="10" xfId="0" applyNumberFormat="1" applyFont="1" applyBorder="1"/>
    <xf numFmtId="1" fontId="0" fillId="0" borderId="10" xfId="0" applyNumberFormat="1" applyBorder="1" applyAlignment="1">
      <alignment horizontal="center"/>
    </xf>
    <xf numFmtId="0" fontId="0" fillId="0" borderId="10" xfId="0" applyBorder="1" applyAlignment="1">
      <alignment horizontal="center"/>
    </xf>
    <xf numFmtId="2" fontId="0" fillId="50" borderId="10" xfId="0" applyNumberFormat="1" applyFill="1" applyBorder="1"/>
    <xf numFmtId="8" fontId="0" fillId="0" borderId="10" xfId="0" applyNumberFormat="1" applyBorder="1"/>
    <xf numFmtId="9" fontId="14" fillId="50" borderId="10" xfId="0" applyNumberFormat="1" applyFont="1" applyFill="1" applyBorder="1" applyAlignment="1">
      <alignment horizontal="center"/>
    </xf>
    <xf numFmtId="0" fontId="38" fillId="0" borderId="0" xfId="0" applyFont="1" applyAlignment="1">
      <alignment horizontal="center"/>
    </xf>
    <xf numFmtId="0" fontId="38"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3.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project.xlsm]1!PivotTable10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rPr>
              <a:t>Level</a:t>
            </a:r>
            <a:r>
              <a:rPr lang="en-IN" b="1" baseline="0">
                <a:solidFill>
                  <a:schemeClr val="tx1"/>
                </a:solidFill>
              </a:rPr>
              <a:t>  Vs Experienced </a:t>
            </a:r>
            <a:endParaRPr lang="en-IN" b="1">
              <a:solidFill>
                <a:schemeClr val="tx1"/>
              </a:solidFill>
            </a:endParaRPr>
          </a:p>
        </c:rich>
      </c:tx>
      <c:layout>
        <c:manualLayout>
          <c:xMode val="edge"/>
          <c:yMode val="edge"/>
          <c:x val="0.20570822397200347"/>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dLbl>
          <c:idx val="0"/>
          <c:layout>
            <c:manualLayout>
              <c:x val="0"/>
              <c:y val="1.01394156343402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169973376983786E-2"/>
          <c:y val="0.12197717008111268"/>
          <c:w val="0.88990263313859963"/>
          <c:h val="0.79961720379400436"/>
        </c:manualLayout>
      </c:layout>
      <c:barChart>
        <c:barDir val="col"/>
        <c:grouping val="clustered"/>
        <c:varyColors val="0"/>
        <c:ser>
          <c:idx val="0"/>
          <c:order val="0"/>
          <c:tx>
            <c:strRef>
              <c:f>'1'!$B$3:$B$4</c:f>
              <c:strCache>
                <c:ptCount val="1"/>
                <c:pt idx="0">
                  <c:v>Female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'1'!$A$5:$A$6</c:f>
              <c:strCache>
                <c:ptCount val="2"/>
                <c:pt idx="0">
                  <c:v>Experienced</c:v>
                </c:pt>
                <c:pt idx="1">
                  <c:v>Fresher</c:v>
                </c:pt>
              </c:strCache>
            </c:strRef>
          </c:cat>
          <c:val>
            <c:numRef>
              <c:f>'1'!$B$5:$B$6</c:f>
              <c:numCache>
                <c:formatCode>General</c:formatCode>
                <c:ptCount val="2"/>
                <c:pt idx="0">
                  <c:v>138</c:v>
                </c:pt>
                <c:pt idx="1">
                  <c:v>41</c:v>
                </c:pt>
              </c:numCache>
            </c:numRef>
          </c:val>
          <c:extLst>
            <c:ext xmlns:c16="http://schemas.microsoft.com/office/drawing/2014/chart" uri="{C3380CC4-5D6E-409C-BE32-E72D297353CC}">
              <c16:uniqueId val="{00000008-2FD0-4A75-B5BB-85E95355A8C0}"/>
            </c:ext>
          </c:extLst>
        </c:ser>
        <c:ser>
          <c:idx val="1"/>
          <c:order val="1"/>
          <c:tx>
            <c:strRef>
              <c:f>'1'!$C$3:$C$4</c:f>
              <c:strCache>
                <c:ptCount val="1"/>
                <c:pt idx="0">
                  <c:v>Male</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F3E2-43E4-8E3A-E432173E0EB8}"/>
              </c:ext>
            </c:extLst>
          </c:dPt>
          <c:dLbls>
            <c:dLbl>
              <c:idx val="0"/>
              <c:layout>
                <c:manualLayout>
                  <c:x val="0"/>
                  <c:y val="1.013941563434020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3E2-43E4-8E3A-E432173E0EB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'1'!$A$5:$A$6</c:f>
              <c:strCache>
                <c:ptCount val="2"/>
                <c:pt idx="0">
                  <c:v>Experienced</c:v>
                </c:pt>
                <c:pt idx="1">
                  <c:v>Fresher</c:v>
                </c:pt>
              </c:strCache>
            </c:strRef>
          </c:cat>
          <c:val>
            <c:numRef>
              <c:f>'1'!$C$5:$C$6</c:f>
              <c:numCache>
                <c:formatCode>General</c:formatCode>
                <c:ptCount val="2"/>
                <c:pt idx="0">
                  <c:v>151</c:v>
                </c:pt>
                <c:pt idx="1">
                  <c:v>43</c:v>
                </c:pt>
              </c:numCache>
            </c:numRef>
          </c:val>
          <c:extLst>
            <c:ext xmlns:c16="http://schemas.microsoft.com/office/drawing/2014/chart" uri="{C3380CC4-5D6E-409C-BE32-E72D297353CC}">
              <c16:uniqueId val="{00000002-3E0E-49CC-8D4D-9D7327C8F7C2}"/>
            </c:ext>
          </c:extLst>
        </c:ser>
        <c:dLbls>
          <c:dLblPos val="outEnd"/>
          <c:showLegendKey val="0"/>
          <c:showVal val="1"/>
          <c:showCatName val="0"/>
          <c:showSerName val="0"/>
          <c:showPercent val="0"/>
          <c:showBubbleSize val="0"/>
        </c:dLbls>
        <c:gapWidth val="219"/>
        <c:overlap val="-27"/>
        <c:axId val="1884175775"/>
        <c:axId val="1884172863"/>
      </c:barChart>
      <c:catAx>
        <c:axId val="1884175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172863"/>
        <c:crosses val="autoZero"/>
        <c:auto val="1"/>
        <c:lblAlgn val="ctr"/>
        <c:lblOffset val="100"/>
        <c:noMultiLvlLbl val="0"/>
      </c:catAx>
      <c:valAx>
        <c:axId val="188417286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175775"/>
        <c:crosses val="autoZero"/>
        <c:crossBetween val="between"/>
      </c:valAx>
      <c:spPr>
        <a:noFill/>
        <a:ln>
          <a:noFill/>
        </a:ln>
        <a:effectLst/>
      </c:spPr>
    </c:plotArea>
    <c:legend>
      <c:legendPos val="r"/>
      <c:layout>
        <c:manualLayout>
          <c:xMode val="edge"/>
          <c:yMode val="edge"/>
          <c:x val="0.7179260717410324"/>
          <c:y val="2.3726305045202706E-2"/>
          <c:w val="0.2515183727034121"/>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project.xlsm]2!PivotTable11</c:name>
    <c:fmtId val="0"/>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IN" sz="2000">
                <a:solidFill>
                  <a:schemeClr val="tx1"/>
                </a:solidFill>
              </a:rPr>
              <a:t>Salary</a:t>
            </a:r>
            <a:r>
              <a:rPr lang="en-IN" sz="2000" baseline="0">
                <a:solidFill>
                  <a:schemeClr val="tx1"/>
                </a:solidFill>
              </a:rPr>
              <a:t> According to  Level</a:t>
            </a:r>
          </a:p>
          <a:p>
            <a:pPr>
              <a:defRPr/>
            </a:pPr>
            <a:endParaRPr lang="en-IN" sz="2000" baseline="0">
              <a:solidFill>
                <a:schemeClr val="tx1"/>
              </a:solidFill>
            </a:endParaRPr>
          </a:p>
        </c:rich>
      </c:tx>
      <c:layout>
        <c:manualLayout>
          <c:xMode val="edge"/>
          <c:yMode val="edge"/>
          <c:x val="0.16748865006739019"/>
          <c:y val="2.78867064125426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dLbl>
          <c:idx val="0"/>
          <c:showLegendKey val="0"/>
          <c:showVal val="1"/>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marker>
          <c:symbol val="none"/>
        </c:marker>
        <c:dLbl>
          <c:idx val="0"/>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a:noFill/>
          </a:ln>
          <a:effectLst>
            <a:outerShdw blurRad="317500" algn="ctr" rotWithShape="0">
              <a:prstClr val="black">
                <a:alpha val="25000"/>
              </a:prstClr>
            </a:outerShdw>
          </a:effectLst>
        </c:spPr>
        <c:dLbl>
          <c:idx val="0"/>
          <c:layout>
            <c:manualLayout>
              <c:x val="0.11711711711711711"/>
              <c:y val="-3.1372544714110481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a:noFill/>
          </a:ln>
          <a:effectLst>
            <a:outerShdw blurRad="317500" algn="ctr" rotWithShape="0">
              <a:prstClr val="black">
                <a:alpha val="25000"/>
              </a:prstClr>
            </a:outerShdw>
          </a:effectLst>
        </c:spPr>
        <c:dLbl>
          <c:idx val="0"/>
          <c:layout>
            <c:manualLayout>
              <c:x val="8.7837837837837843E-2"/>
              <c:y val="9.4117634142331319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a:noFill/>
          </a:ln>
          <a:effectLst>
            <a:outerShdw blurRad="317500" algn="ctr" rotWithShape="0">
              <a:prstClr val="black">
                <a:alpha val="25000"/>
              </a:prstClr>
            </a:outerShdw>
          </a:effectLst>
        </c:spPr>
        <c:dLbl>
          <c:idx val="0"/>
          <c:layout>
            <c:manualLayout>
              <c:x val="-8.55855855855856E-2"/>
              <c:y val="0.1568627235705524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a:noFill/>
          </a:ln>
          <a:effectLst>
            <a:outerShdw blurRad="317500" algn="ctr" rotWithShape="0">
              <a:prstClr val="black">
                <a:alpha val="25000"/>
              </a:prstClr>
            </a:outerShdw>
          </a:effectLst>
        </c:spPr>
        <c:dLbl>
          <c:idx val="0"/>
          <c:layout>
            <c:manualLayout>
              <c:x val="-6.9819819819819856E-2"/>
              <c:y val="-9.4117634142331444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'2'!$C$3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4C49-4CCA-9263-A930FD562188}"/>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4C49-4CCA-9263-A930FD562188}"/>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4C49-4CCA-9263-A930FD562188}"/>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4C49-4CCA-9263-A930FD562188}"/>
              </c:ext>
            </c:extLst>
          </c:dPt>
          <c:dLbls>
            <c:dLbl>
              <c:idx val="0"/>
              <c:layout>
                <c:manualLayout>
                  <c:x val="0.11711711711711711"/>
                  <c:y val="-3.137254471411048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C49-4CCA-9263-A930FD562188}"/>
                </c:ext>
              </c:extLst>
            </c:dLbl>
            <c:dLbl>
              <c:idx val="1"/>
              <c:layout>
                <c:manualLayout>
                  <c:x val="8.7837837837837843E-2"/>
                  <c:y val="9.411763414233131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C49-4CCA-9263-A930FD562188}"/>
                </c:ext>
              </c:extLst>
            </c:dLbl>
            <c:dLbl>
              <c:idx val="2"/>
              <c:layout>
                <c:manualLayout>
                  <c:x val="-8.55855855855856E-2"/>
                  <c:y val="0.1568627235705524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4C49-4CCA-9263-A930FD562188}"/>
                </c:ext>
              </c:extLst>
            </c:dLbl>
            <c:dLbl>
              <c:idx val="3"/>
              <c:layout>
                <c:manualLayout>
                  <c:x val="-6.9819819819819856E-2"/>
                  <c:y val="-9.411763414233144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4C49-4CCA-9263-A930FD562188}"/>
                </c:ext>
              </c:extLst>
            </c:dLbl>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multiLvlStrRef>
              <c:f>'2'!$A$4:$B$9</c:f>
              <c:multiLvlStrCache>
                <c:ptCount val="4"/>
                <c:lvl>
                  <c:pt idx="0">
                    <c:v>Experienced</c:v>
                  </c:pt>
                  <c:pt idx="1">
                    <c:v>Fresher</c:v>
                  </c:pt>
                  <c:pt idx="2">
                    <c:v>Experienced</c:v>
                  </c:pt>
                  <c:pt idx="3">
                    <c:v>Fresher</c:v>
                  </c:pt>
                </c:lvl>
                <c:lvl>
                  <c:pt idx="0">
                    <c:v>Female</c:v>
                  </c:pt>
                  <c:pt idx="2">
                    <c:v>Male</c:v>
                  </c:pt>
                </c:lvl>
              </c:multiLvlStrCache>
            </c:multiLvlStrRef>
          </c:cat>
          <c:val>
            <c:numRef>
              <c:f>'2'!$C$4:$C$9</c:f>
              <c:numCache>
                <c:formatCode>0.00%</c:formatCode>
                <c:ptCount val="4"/>
                <c:pt idx="0">
                  <c:v>0.36997319034852549</c:v>
                </c:pt>
                <c:pt idx="1">
                  <c:v>0.10991957104557641</c:v>
                </c:pt>
                <c:pt idx="2">
                  <c:v>0.40482573726541554</c:v>
                </c:pt>
                <c:pt idx="3">
                  <c:v>0.11528150134048257</c:v>
                </c:pt>
              </c:numCache>
            </c:numRef>
          </c:val>
          <c:extLst>
            <c:ext xmlns:c16="http://schemas.microsoft.com/office/drawing/2014/chart" uri="{C3380CC4-5D6E-409C-BE32-E72D297353CC}">
              <c16:uniqueId val="{00000009-FADB-4BF3-9289-AC2C6101082E}"/>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layout>
        <c:manualLayout>
          <c:xMode val="edge"/>
          <c:yMode val="edge"/>
          <c:x val="0.74207934312265023"/>
          <c:y val="2.8496041926675E-2"/>
          <c:w val="0.23089362985032277"/>
          <c:h val="0.23529573220856953"/>
        </c:manualLayout>
      </c:layout>
      <c:overlay val="0"/>
      <c:spPr>
        <a:solidFill>
          <a:schemeClr val="lt1">
            <a:alpha val="78000"/>
          </a:schemeClr>
        </a:solidFill>
        <a:ln>
          <a:noFill/>
        </a:ln>
        <a:effectLst/>
      </c:spPr>
      <c:txPr>
        <a:bodyPr rot="0" spcFirstLastPara="1" vertOverflow="ellipsis" vert="horz" wrap="square" anchor="ctr" anchorCtr="1"/>
        <a:lstStyle/>
        <a:p>
          <a:pPr>
            <a:defRPr sz="105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ysClr val="windowText" lastClr="000000">
          <a:lumMod val="25000"/>
          <a:lumOff val="75000"/>
        </a:sys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project.xlsm]3!PivotTable12</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Age Group Vs Level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alpha val="85000"/>
            </a:schemeClr>
          </a:solidFill>
          <a:ln w="9525" cap="flat" cmpd="sng" algn="ctr">
            <a:solidFill>
              <a:schemeClr val="lt1">
                <a:alpha val="50000"/>
              </a:schemeClr>
            </a:solidFill>
            <a:round/>
          </a:ln>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bar"/>
        <c:grouping val="clustered"/>
        <c:varyColors val="0"/>
        <c:ser>
          <c:idx val="0"/>
          <c:order val="0"/>
          <c:tx>
            <c:strRef>
              <c:f>'3'!$B$3:$B$4</c:f>
              <c:strCache>
                <c:ptCount val="1"/>
                <c:pt idx="0">
                  <c:v>Experienced</c:v>
                </c:pt>
              </c:strCache>
            </c:strRef>
          </c:tx>
          <c:spPr>
            <a:solidFill>
              <a:schemeClr val="accent1">
                <a:alpha val="85000"/>
              </a:schemeClr>
            </a:solidFill>
            <a:ln w="9525" cap="flat" cmpd="sng" algn="ctr">
              <a:solidFill>
                <a:schemeClr val="lt1">
                  <a:alpha val="50000"/>
                </a:schemeClr>
              </a:solidFill>
              <a:round/>
            </a:ln>
            <a:effectLst/>
          </c:spPr>
          <c:invertIfNegative val="0"/>
          <c:dLbls>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a:solidFill>
                        <a:schemeClr val="dk1">
                          <a:lumMod val="50000"/>
                          <a:lumOff val="50000"/>
                        </a:schemeClr>
                      </a:solidFill>
                    </a:ln>
                    <a:effectLst/>
                  </c:spPr>
                </c15:leaderLines>
              </c:ext>
            </c:extLst>
          </c:dLbls>
          <c:cat>
            <c:strRef>
              <c:f>'3'!$A$5:$A$7</c:f>
              <c:strCache>
                <c:ptCount val="3"/>
                <c:pt idx="0">
                  <c:v>Adult</c:v>
                </c:pt>
                <c:pt idx="1">
                  <c:v>Senior</c:v>
                </c:pt>
                <c:pt idx="2">
                  <c:v>Teenager</c:v>
                </c:pt>
              </c:strCache>
            </c:strRef>
          </c:cat>
          <c:val>
            <c:numRef>
              <c:f>'3'!$B$5:$B$7</c:f>
              <c:numCache>
                <c:formatCode>General</c:formatCode>
                <c:ptCount val="3"/>
                <c:pt idx="0">
                  <c:v>272</c:v>
                </c:pt>
                <c:pt idx="1">
                  <c:v>17</c:v>
                </c:pt>
              </c:numCache>
            </c:numRef>
          </c:val>
          <c:extLst>
            <c:ext xmlns:c16="http://schemas.microsoft.com/office/drawing/2014/chart" uri="{C3380CC4-5D6E-409C-BE32-E72D297353CC}">
              <c16:uniqueId val="{0000000C-8674-4198-8F09-8B4C19FCF0BF}"/>
            </c:ext>
          </c:extLst>
        </c:ser>
        <c:ser>
          <c:idx val="1"/>
          <c:order val="1"/>
          <c:tx>
            <c:strRef>
              <c:f>'3'!$C$3:$C$4</c:f>
              <c:strCache>
                <c:ptCount val="1"/>
                <c:pt idx="0">
                  <c:v>Fresher</c:v>
                </c:pt>
              </c:strCache>
            </c:strRef>
          </c:tx>
          <c:spPr>
            <a:solidFill>
              <a:schemeClr val="accent2">
                <a:alpha val="85000"/>
              </a:schemeClr>
            </a:solidFill>
            <a:ln w="9525" cap="flat" cmpd="sng" algn="ctr">
              <a:solidFill>
                <a:schemeClr val="lt1">
                  <a:alpha val="50000"/>
                </a:schemeClr>
              </a:solidFill>
              <a:round/>
            </a:ln>
            <a:effectLst/>
          </c:spPr>
          <c:invertIfNegative val="0"/>
          <c:dLbls>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a:solidFill>
                        <a:schemeClr val="dk1">
                          <a:lumMod val="50000"/>
                          <a:lumOff val="50000"/>
                        </a:schemeClr>
                      </a:solidFill>
                    </a:ln>
                    <a:effectLst/>
                  </c:spPr>
                </c15:leaderLines>
              </c:ext>
            </c:extLst>
          </c:dLbls>
          <c:cat>
            <c:strRef>
              <c:f>'3'!$A$5:$A$7</c:f>
              <c:strCache>
                <c:ptCount val="3"/>
                <c:pt idx="0">
                  <c:v>Adult</c:v>
                </c:pt>
                <c:pt idx="1">
                  <c:v>Senior</c:v>
                </c:pt>
                <c:pt idx="2">
                  <c:v>Teenager</c:v>
                </c:pt>
              </c:strCache>
            </c:strRef>
          </c:cat>
          <c:val>
            <c:numRef>
              <c:f>'3'!$C$5:$C$7</c:f>
              <c:numCache>
                <c:formatCode>General</c:formatCode>
                <c:ptCount val="3"/>
                <c:pt idx="0">
                  <c:v>82</c:v>
                </c:pt>
                <c:pt idx="2">
                  <c:v>2</c:v>
                </c:pt>
              </c:numCache>
            </c:numRef>
          </c:val>
          <c:extLst>
            <c:ext xmlns:c16="http://schemas.microsoft.com/office/drawing/2014/chart" uri="{C3380CC4-5D6E-409C-BE32-E72D297353CC}">
              <c16:uniqueId val="{00000001-78D7-4944-A9F3-F4586E1808A2}"/>
            </c:ext>
          </c:extLst>
        </c:ser>
        <c:dLbls>
          <c:showLegendKey val="0"/>
          <c:showVal val="0"/>
          <c:showCatName val="0"/>
          <c:showSerName val="0"/>
          <c:showPercent val="0"/>
          <c:showBubbleSize val="0"/>
        </c:dLbls>
        <c:gapWidth val="65"/>
        <c:axId val="1573041359"/>
        <c:axId val="1573036367"/>
      </c:barChart>
      <c:catAx>
        <c:axId val="1573041359"/>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73036367"/>
        <c:crosses val="autoZero"/>
        <c:auto val="1"/>
        <c:lblAlgn val="ctr"/>
        <c:lblOffset val="100"/>
        <c:noMultiLvlLbl val="0"/>
      </c:catAx>
      <c:valAx>
        <c:axId val="1573036367"/>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573041359"/>
        <c:crosses val="autoZero"/>
        <c:crossBetween val="between"/>
      </c:valAx>
      <c:spPr>
        <a:noFill/>
        <a:ln>
          <a:noFill/>
        </a:ln>
        <a:effectLst/>
      </c:spPr>
    </c:plotArea>
    <c:legend>
      <c:legendPos val="r"/>
      <c:layout>
        <c:manualLayout>
          <c:xMode val="edge"/>
          <c:yMode val="edge"/>
          <c:x val="0.85399167209361992"/>
          <c:y val="6.0763342082239741E-2"/>
          <c:w val="0.11421906768696166"/>
          <c:h val="0.1224498191369194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project.xlsm]4!PivotTable13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Education</a:t>
            </a:r>
            <a:r>
              <a:rPr lang="en-US" sz="1600" b="1" baseline="0"/>
              <a:t> Level Of Employee</a:t>
            </a:r>
            <a:endParaRPr lang="en-US" sz="1600" b="1"/>
          </a:p>
        </c:rich>
      </c:tx>
      <c:layout>
        <c:manualLayout>
          <c:xMode val="edge"/>
          <c:yMode val="edge"/>
          <c:x val="0.29322693486843554"/>
          <c:y val="4.38104168637305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c:spPr>
        <c:dLbl>
          <c:idx val="0"/>
          <c:layout>
            <c:manualLayout>
              <c:x val="-5.1540616246498597E-2"/>
              <c:y val="-0.14690824675455902"/>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0272127748737291"/>
                  <c:h val="0.12032929268140542"/>
                </c:manualLayout>
              </c15:layout>
            </c:ext>
          </c:extLst>
        </c:dLbl>
      </c:pivotFmt>
      <c:pivotFmt>
        <c:idx val="2"/>
        <c:spPr>
          <a:solidFill>
            <a:schemeClr val="accent1"/>
          </a:solidFill>
          <a:ln>
            <a:noFill/>
          </a:ln>
          <a:effectLst/>
        </c:spPr>
        <c:dLbl>
          <c:idx val="0"/>
          <c:layout>
            <c:manualLayout>
              <c:x val="3.8095326319504179E-2"/>
              <c:y val="-0.17852159171209997"/>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585690024041111"/>
                  <c:h val="0.10917169319939919"/>
                </c:manualLayout>
              </c15:layout>
            </c:ext>
          </c:extLst>
        </c:dLbl>
      </c:pivotFmt>
      <c:pivotFmt>
        <c:idx val="3"/>
        <c:spPr>
          <a:solidFill>
            <a:schemeClr val="accent1"/>
          </a:solidFill>
          <a:ln>
            <a:noFill/>
          </a:ln>
          <a:effectLst/>
        </c:spPr>
        <c:dLbl>
          <c:idx val="0"/>
          <c:layout>
            <c:manualLayout>
              <c:x val="0.10868347338935574"/>
              <c:y val="-0.3105533320076973"/>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081541277928493"/>
                  <c:h val="0.17983648991877205"/>
                </c:manualLayout>
              </c15:layout>
            </c:ext>
          </c:extLst>
        </c:dLbl>
      </c:pivotFmt>
    </c:pivotFmts>
    <c:plotArea>
      <c:layout/>
      <c:areaChart>
        <c:grouping val="standard"/>
        <c:varyColors val="0"/>
        <c:ser>
          <c:idx val="0"/>
          <c:order val="0"/>
          <c:tx>
            <c:strRef>
              <c:f>'4'!$B$3</c:f>
              <c:strCache>
                <c:ptCount val="1"/>
                <c:pt idx="0">
                  <c:v>Total</c:v>
                </c:pt>
              </c:strCache>
            </c:strRef>
          </c:tx>
          <c:spPr>
            <a:solidFill>
              <a:schemeClr val="accent1"/>
            </a:solidFill>
            <a:ln>
              <a:noFill/>
            </a:ln>
            <a:effectLst/>
          </c:spPr>
          <c:dPt>
            <c:idx val="0"/>
            <c:bubble3D val="0"/>
            <c:extLst>
              <c:ext xmlns:c16="http://schemas.microsoft.com/office/drawing/2014/chart" uri="{C3380CC4-5D6E-409C-BE32-E72D297353CC}">
                <c16:uniqueId val="{00000004-7274-40CA-ABE4-B7208D9C13F6}"/>
              </c:ext>
            </c:extLst>
          </c:dPt>
          <c:dPt>
            <c:idx val="1"/>
            <c:bubble3D val="0"/>
            <c:extLst>
              <c:ext xmlns:c16="http://schemas.microsoft.com/office/drawing/2014/chart" uri="{C3380CC4-5D6E-409C-BE32-E72D297353CC}">
                <c16:uniqueId val="{00000003-7274-40CA-ABE4-B7208D9C13F6}"/>
              </c:ext>
            </c:extLst>
          </c:dPt>
          <c:dPt>
            <c:idx val="2"/>
            <c:bubble3D val="0"/>
            <c:extLst>
              <c:ext xmlns:c16="http://schemas.microsoft.com/office/drawing/2014/chart" uri="{C3380CC4-5D6E-409C-BE32-E72D297353CC}">
                <c16:uniqueId val="{00000002-7274-40CA-ABE4-B7208D9C13F6}"/>
              </c:ext>
            </c:extLst>
          </c:dPt>
          <c:dLbls>
            <c:dLbl>
              <c:idx val="0"/>
              <c:layout>
                <c:manualLayout>
                  <c:x val="0.10868347338935574"/>
                  <c:y val="-0.3105533320076973"/>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081541277928493"/>
                      <c:h val="0.17983648991877205"/>
                    </c:manualLayout>
                  </c15:layout>
                </c:ext>
                <c:ext xmlns:c16="http://schemas.microsoft.com/office/drawing/2014/chart" uri="{C3380CC4-5D6E-409C-BE32-E72D297353CC}">
                  <c16:uniqueId val="{00000004-7274-40CA-ABE4-B7208D9C13F6}"/>
                </c:ext>
              </c:extLst>
            </c:dLbl>
            <c:dLbl>
              <c:idx val="1"/>
              <c:layout>
                <c:manualLayout>
                  <c:x val="3.8095326319504179E-2"/>
                  <c:y val="-0.17852159171209997"/>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585690024041111"/>
                      <c:h val="0.10917169319939919"/>
                    </c:manualLayout>
                  </c15:layout>
                </c:ext>
                <c:ext xmlns:c16="http://schemas.microsoft.com/office/drawing/2014/chart" uri="{C3380CC4-5D6E-409C-BE32-E72D297353CC}">
                  <c16:uniqueId val="{00000003-7274-40CA-ABE4-B7208D9C13F6}"/>
                </c:ext>
              </c:extLst>
            </c:dLbl>
            <c:dLbl>
              <c:idx val="2"/>
              <c:layout>
                <c:manualLayout>
                  <c:x val="-5.1540616246498597E-2"/>
                  <c:y val="-0.14690824675455902"/>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0272127748737291"/>
                      <c:h val="0.12032929268140542"/>
                    </c:manualLayout>
                  </c15:layout>
                </c:ext>
                <c:ext xmlns:c16="http://schemas.microsoft.com/office/drawing/2014/chart" uri="{C3380CC4-5D6E-409C-BE32-E72D297353CC}">
                  <c16:uniqueId val="{00000002-7274-40CA-ABE4-B7208D9C13F6}"/>
                </c:ext>
              </c:extLst>
            </c:dLbl>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'4'!$A$4:$A$7</c:f>
              <c:strCache>
                <c:ptCount val="3"/>
                <c:pt idx="0">
                  <c:v>Bachelor's</c:v>
                </c:pt>
                <c:pt idx="1">
                  <c:v>Master's</c:v>
                </c:pt>
                <c:pt idx="2">
                  <c:v>PhD</c:v>
                </c:pt>
              </c:strCache>
            </c:strRef>
          </c:cat>
          <c:val>
            <c:numRef>
              <c:f>'4'!$B$4:$B$7</c:f>
              <c:numCache>
                <c:formatCode>0.00%</c:formatCode>
                <c:ptCount val="3"/>
                <c:pt idx="0">
                  <c:v>0.60053619302949057</c:v>
                </c:pt>
                <c:pt idx="1">
                  <c:v>0.26273458445040215</c:v>
                </c:pt>
                <c:pt idx="2">
                  <c:v>0.13672922252010725</c:v>
                </c:pt>
              </c:numCache>
            </c:numRef>
          </c:val>
          <c:extLst>
            <c:ext xmlns:c16="http://schemas.microsoft.com/office/drawing/2014/chart" uri="{C3380CC4-5D6E-409C-BE32-E72D297353CC}">
              <c16:uniqueId val="{00000000-7274-40CA-ABE4-B7208D9C13F6}"/>
            </c:ext>
          </c:extLst>
        </c:ser>
        <c:dLbls>
          <c:showLegendKey val="0"/>
          <c:showVal val="1"/>
          <c:showCatName val="0"/>
          <c:showSerName val="0"/>
          <c:showPercent val="0"/>
          <c:showBubbleSize val="0"/>
        </c:dLbls>
        <c:axId val="1642078271"/>
        <c:axId val="1642065375"/>
      </c:areaChart>
      <c:catAx>
        <c:axId val="16420782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1642065375"/>
        <c:crosses val="autoZero"/>
        <c:auto val="1"/>
        <c:lblAlgn val="ctr"/>
        <c:lblOffset val="100"/>
        <c:noMultiLvlLbl val="0"/>
      </c:catAx>
      <c:valAx>
        <c:axId val="164206537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207827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project.xlsm]5!PivotTable14</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sz="1600">
                <a:solidFill>
                  <a:schemeClr val="bg1"/>
                </a:solidFill>
              </a:rPr>
              <a:t>Salary</a:t>
            </a:r>
            <a:r>
              <a:rPr lang="en-US" sz="1600" baseline="0">
                <a:solidFill>
                  <a:schemeClr val="bg1"/>
                </a:solidFill>
              </a:rPr>
              <a:t> according to Job Title</a:t>
            </a:r>
          </a:p>
          <a:p>
            <a:pPr>
              <a:defRPr/>
            </a:pPr>
            <a:endParaRPr lang="en-US" sz="1600">
              <a:solidFill>
                <a:schemeClr val="bg1"/>
              </a:solidFill>
            </a:endParaRPr>
          </a:p>
        </c:rich>
      </c:tx>
      <c:layout>
        <c:manualLayout>
          <c:xMode val="edge"/>
          <c:yMode val="edge"/>
          <c:x val="0.20736545028645609"/>
          <c:y val="2.9339860832030194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'5'!$B$3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'5'!$A$4:$A$50</c:f>
              <c:strCache>
                <c:ptCount val="47"/>
                <c:pt idx="0">
                  <c:v>Account Manager</c:v>
                </c:pt>
                <c:pt idx="1">
                  <c:v>Accountant</c:v>
                </c:pt>
                <c:pt idx="2">
                  <c:v>Business Analyst</c:v>
                </c:pt>
                <c:pt idx="3">
                  <c:v>CEO</c:v>
                </c:pt>
                <c:pt idx="4">
                  <c:v>Creative Director</c:v>
                </c:pt>
                <c:pt idx="5">
                  <c:v>Customer Service Manager</c:v>
                </c:pt>
                <c:pt idx="6">
                  <c:v>Data Analyst</c:v>
                </c:pt>
                <c:pt idx="7">
                  <c:v>Data Scientist</c:v>
                </c:pt>
                <c:pt idx="8">
                  <c:v>Digital Marketing Manager</c:v>
                </c:pt>
                <c:pt idx="9">
                  <c:v>Financial Manager</c:v>
                </c:pt>
                <c:pt idx="10">
                  <c:v>Graphic Designer</c:v>
                </c:pt>
                <c:pt idx="11">
                  <c:v>Help Desk Analyst</c:v>
                </c:pt>
                <c:pt idx="12">
                  <c:v>HR Manager</c:v>
                </c:pt>
                <c:pt idx="13">
                  <c:v>IT Manager</c:v>
                </c:pt>
                <c:pt idx="14">
                  <c:v>Junior Business Analyst</c:v>
                </c:pt>
                <c:pt idx="15">
                  <c:v>Junior Data Analyst</c:v>
                </c:pt>
                <c:pt idx="16">
                  <c:v>Junior Product Manager</c:v>
                </c:pt>
                <c:pt idx="17">
                  <c:v>Junior Software Developer</c:v>
                </c:pt>
                <c:pt idx="18">
                  <c:v>Junior Software Engineer</c:v>
                </c:pt>
                <c:pt idx="19">
                  <c:v>Junior Web Designer</c:v>
                </c:pt>
                <c:pt idx="20">
                  <c:v>Junior Web Developer</c:v>
                </c:pt>
                <c:pt idx="21">
                  <c:v>Marketing Analyst</c:v>
                </c:pt>
                <c:pt idx="22">
                  <c:v>Marketing Manager</c:v>
                </c:pt>
                <c:pt idx="23">
                  <c:v>Marketing Specialist</c:v>
                </c:pt>
                <c:pt idx="24">
                  <c:v>Network Engineer</c:v>
                </c:pt>
                <c:pt idx="25">
                  <c:v>Office Manager</c:v>
                </c:pt>
                <c:pt idx="26">
                  <c:v>Operations Director</c:v>
                </c:pt>
                <c:pt idx="27">
                  <c:v>Project Engineer</c:v>
                </c:pt>
                <c:pt idx="28">
                  <c:v>Project Manager</c:v>
                </c:pt>
                <c:pt idx="29">
                  <c:v>Public Relations Manager</c:v>
                </c:pt>
                <c:pt idx="30">
                  <c:v>Sales Associate</c:v>
                </c:pt>
                <c:pt idx="31">
                  <c:v>Sales Director</c:v>
                </c:pt>
                <c:pt idx="32">
                  <c:v>Sales Manager</c:v>
                </c:pt>
                <c:pt idx="33">
                  <c:v>Senior Data Analyst</c:v>
                </c:pt>
                <c:pt idx="34">
                  <c:v>Senior Data Engineer</c:v>
                </c:pt>
                <c:pt idx="35">
                  <c:v>Senior Data Scientist</c:v>
                </c:pt>
                <c:pt idx="36">
                  <c:v>Senior Financial Analyst</c:v>
                </c:pt>
                <c:pt idx="37">
                  <c:v>Senior Human Resources Manager</c:v>
                </c:pt>
                <c:pt idx="38">
                  <c:v>Senior Marketing Manager</c:v>
                </c:pt>
                <c:pt idx="39">
                  <c:v>Senior Sales Manager</c:v>
                </c:pt>
                <c:pt idx="40">
                  <c:v>Senior Scientist</c:v>
                </c:pt>
                <c:pt idx="41">
                  <c:v>Senior Software Developer</c:v>
                </c:pt>
                <c:pt idx="42">
                  <c:v>Social Media Manager</c:v>
                </c:pt>
                <c:pt idx="43">
                  <c:v>Software Engineer</c:v>
                </c:pt>
                <c:pt idx="44">
                  <c:v>Supply Chain Manager</c:v>
                </c:pt>
                <c:pt idx="45">
                  <c:v>Training Specialist</c:v>
                </c:pt>
                <c:pt idx="46">
                  <c:v>Web Developer</c:v>
                </c:pt>
              </c:strCache>
            </c:strRef>
          </c:cat>
          <c:val>
            <c:numRef>
              <c:f>'5'!$B$4:$B$50</c:f>
              <c:numCache>
                <c:formatCode>0.00%</c:formatCode>
                <c:ptCount val="47"/>
                <c:pt idx="0">
                  <c:v>1.020408163265306E-2</c:v>
                </c:pt>
                <c:pt idx="1">
                  <c:v>1.020408163265306E-2</c:v>
                </c:pt>
                <c:pt idx="2">
                  <c:v>2.0408163265306121E-2</c:v>
                </c:pt>
                <c:pt idx="3">
                  <c:v>1.020408163265306E-2</c:v>
                </c:pt>
                <c:pt idx="4">
                  <c:v>1.020408163265306E-2</c:v>
                </c:pt>
                <c:pt idx="5">
                  <c:v>2.0408163265306121E-2</c:v>
                </c:pt>
                <c:pt idx="6">
                  <c:v>2.0408163265306121E-2</c:v>
                </c:pt>
                <c:pt idx="7">
                  <c:v>1.020408163265306E-2</c:v>
                </c:pt>
                <c:pt idx="8">
                  <c:v>1.020408163265306E-2</c:v>
                </c:pt>
                <c:pt idx="9">
                  <c:v>1.020408163265306E-2</c:v>
                </c:pt>
                <c:pt idx="10">
                  <c:v>1.020408163265306E-2</c:v>
                </c:pt>
                <c:pt idx="11">
                  <c:v>1.020408163265306E-2</c:v>
                </c:pt>
                <c:pt idx="12">
                  <c:v>2.0408163265306121E-2</c:v>
                </c:pt>
                <c:pt idx="13">
                  <c:v>1.020408163265306E-2</c:v>
                </c:pt>
                <c:pt idx="14">
                  <c:v>8.1632653061224483E-2</c:v>
                </c:pt>
                <c:pt idx="15">
                  <c:v>1.020408163265306E-2</c:v>
                </c:pt>
                <c:pt idx="16">
                  <c:v>4.0816326530612242E-2</c:v>
                </c:pt>
                <c:pt idx="17">
                  <c:v>2.0408163265306121E-2</c:v>
                </c:pt>
                <c:pt idx="18">
                  <c:v>1.020408163265306E-2</c:v>
                </c:pt>
                <c:pt idx="19">
                  <c:v>1.020408163265306E-2</c:v>
                </c:pt>
                <c:pt idx="20">
                  <c:v>1.020408163265306E-2</c:v>
                </c:pt>
                <c:pt idx="21">
                  <c:v>2.0408163265306121E-2</c:v>
                </c:pt>
                <c:pt idx="22">
                  <c:v>1.020408163265306E-2</c:v>
                </c:pt>
                <c:pt idx="23">
                  <c:v>1.020408163265306E-2</c:v>
                </c:pt>
                <c:pt idx="24">
                  <c:v>1.020408163265306E-2</c:v>
                </c:pt>
                <c:pt idx="25">
                  <c:v>1.020408163265306E-2</c:v>
                </c:pt>
                <c:pt idx="26">
                  <c:v>1.020408163265306E-2</c:v>
                </c:pt>
                <c:pt idx="27">
                  <c:v>1.020408163265306E-2</c:v>
                </c:pt>
                <c:pt idx="28">
                  <c:v>2.0408163265306121E-2</c:v>
                </c:pt>
                <c:pt idx="29">
                  <c:v>1.020408163265306E-2</c:v>
                </c:pt>
                <c:pt idx="30">
                  <c:v>2.0408163265306121E-2</c:v>
                </c:pt>
                <c:pt idx="31">
                  <c:v>1.020408163265306E-2</c:v>
                </c:pt>
                <c:pt idx="32">
                  <c:v>3.0612244897959183E-2</c:v>
                </c:pt>
                <c:pt idx="33">
                  <c:v>3.0612244897959183E-2</c:v>
                </c:pt>
                <c:pt idx="34">
                  <c:v>4.0816326530612242E-2</c:v>
                </c:pt>
                <c:pt idx="35">
                  <c:v>7.1428571428571425E-2</c:v>
                </c:pt>
                <c:pt idx="36">
                  <c:v>7.1428571428571425E-2</c:v>
                </c:pt>
                <c:pt idx="37">
                  <c:v>2.0408163265306121E-2</c:v>
                </c:pt>
                <c:pt idx="38">
                  <c:v>9.1836734693877556E-2</c:v>
                </c:pt>
                <c:pt idx="39">
                  <c:v>2.0408163265306121E-2</c:v>
                </c:pt>
                <c:pt idx="40">
                  <c:v>3.0612244897959183E-2</c:v>
                </c:pt>
                <c:pt idx="41">
                  <c:v>3.0612244897959183E-2</c:v>
                </c:pt>
                <c:pt idx="42">
                  <c:v>1.020408163265306E-2</c:v>
                </c:pt>
                <c:pt idx="43">
                  <c:v>1.020408163265306E-2</c:v>
                </c:pt>
                <c:pt idx="44">
                  <c:v>1.020408163265306E-2</c:v>
                </c:pt>
                <c:pt idx="45">
                  <c:v>1.020408163265306E-2</c:v>
                </c:pt>
                <c:pt idx="46">
                  <c:v>1.020408163265306E-2</c:v>
                </c:pt>
              </c:numCache>
            </c:numRef>
          </c:val>
          <c:extLst>
            <c:ext xmlns:c16="http://schemas.microsoft.com/office/drawing/2014/chart" uri="{C3380CC4-5D6E-409C-BE32-E72D297353CC}">
              <c16:uniqueId val="{00000003-D7CD-4BD7-85D0-FA64BE536BE4}"/>
            </c:ext>
          </c:extLst>
        </c:ser>
        <c:dLbls>
          <c:showLegendKey val="0"/>
          <c:showVal val="0"/>
          <c:showCatName val="0"/>
          <c:showSerName val="0"/>
          <c:showPercent val="0"/>
          <c:showBubbleSize val="0"/>
        </c:dLbls>
        <c:gapWidth val="315"/>
        <c:overlap val="-40"/>
        <c:axId val="1642089919"/>
        <c:axId val="1642090751"/>
      </c:barChart>
      <c:catAx>
        <c:axId val="1642089919"/>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0"/>
          <a:lstStyle/>
          <a:p>
            <a:pPr>
              <a:defRPr sz="900" b="0" i="0" u="none" strike="noStrike" kern="1200" baseline="0">
                <a:solidFill>
                  <a:schemeClr val="lt1">
                    <a:lumMod val="75000"/>
                  </a:schemeClr>
                </a:solidFill>
                <a:latin typeface="+mn-lt"/>
                <a:ea typeface="+mn-ea"/>
                <a:cs typeface="+mn-cs"/>
              </a:defRPr>
            </a:pPr>
            <a:endParaRPr lang="en-US"/>
          </a:p>
        </c:txPr>
        <c:crossAx val="1642090751"/>
        <c:crosses val="autoZero"/>
        <c:auto val="1"/>
        <c:lblAlgn val="ctr"/>
        <c:lblOffset val="100"/>
        <c:noMultiLvlLbl val="0"/>
      </c:catAx>
      <c:valAx>
        <c:axId val="164209075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42089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project.xlsm]6!PivotTable15</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Salary On THe Basis Of Level</a:t>
            </a:r>
          </a:p>
        </c:rich>
      </c:tx>
      <c:layout>
        <c:manualLayout>
          <c:xMode val="edge"/>
          <c:yMode val="edge"/>
          <c:x val="3.4345514502994813E-2"/>
          <c:y val="4.0898423878876856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spPr>
          <a:solidFill>
            <a:schemeClr val="accent1"/>
          </a:solidFill>
          <a:ln>
            <a:noFill/>
          </a:ln>
          <a:effectLst>
            <a:outerShdw blurRad="254000" sx="102000" sy="102000" algn="ctr" rotWithShape="0">
              <a:prstClr val="black">
                <a:alpha val="20000"/>
              </a:prstClr>
            </a:outerShdw>
          </a:effectLst>
          <a:sp3d/>
        </c:spPr>
        <c:dLbl>
          <c:idx val="0"/>
          <c:layout>
            <c:manualLayout>
              <c:x val="1.1785870516185475E-2"/>
              <c:y val="2.320428696412948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
        <c:spPr>
          <a:solidFill>
            <a:schemeClr val="accent1"/>
          </a:solidFill>
          <a:ln>
            <a:noFill/>
          </a:ln>
          <a:effectLst>
            <a:outerShdw blurRad="254000" sx="102000" sy="102000" algn="ctr" rotWithShape="0">
              <a:prstClr val="black">
                <a:alpha val="20000"/>
              </a:prstClr>
            </a:outerShdw>
          </a:effectLst>
          <a:sp3d/>
        </c:spPr>
        <c:dLbl>
          <c:idx val="0"/>
          <c:layout>
            <c:manualLayout>
              <c:x val="2.7280839895013124E-2"/>
              <c:y val="-8.9030694079906672E-2"/>
            </c:manualLayout>
          </c:layout>
          <c:tx>
            <c:rich>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0D6323F9-BDDB-449C-9799-9B0AB99D7FAF}" type="CATEGORYNAME">
                  <a:rPr lang="en-US"/>
                  <a:pPr>
                    <a:defRPr/>
                  </a:pPr>
                  <a:t>[CATEGORY NAME]</a:t>
                </a:fld>
                <a:r>
                  <a:rPr lang="en-US"/>
                  <a:t>
</a:t>
                </a:r>
                <a:fld id="{8CDB15E5-2397-4B18-BDA7-D1116F5C08F3}" type="PERCENTAGE">
                  <a:rPr lang="en-US"/>
                  <a:pPr>
                    <a:defRPr/>
                  </a:pPr>
                  <a:t>[PERCENTAGE]</a:t>
                </a:fld>
                <a:endParaRPr lang="en-US"/>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dlblFieldTable/>
              <c15:showDataLabelsRange val="0"/>
            </c:ext>
          </c:extLst>
        </c:dLbl>
      </c:pivotFmt>
    </c:pivotFmts>
    <c:view3D>
      <c:rotX val="50"/>
      <c:rotY val="14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7777777777777779E-3"/>
          <c:y val="0.17970235205091595"/>
          <c:w val="0.87715900897003263"/>
          <c:h val="0.80640862392514012"/>
        </c:manualLayout>
      </c:layout>
      <c:pie3DChart>
        <c:varyColors val="1"/>
        <c:ser>
          <c:idx val="0"/>
          <c:order val="0"/>
          <c:tx>
            <c:strRef>
              <c:f>'6'!$B$3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2-6F69-49D4-90BE-09FD283466D3}"/>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6F69-49D4-90BE-09FD283466D3}"/>
              </c:ext>
            </c:extLst>
          </c:dPt>
          <c:dLbls>
            <c:dLbl>
              <c:idx val="0"/>
              <c:layout>
                <c:manualLayout>
                  <c:x val="1.1785870516185475E-2"/>
                  <c:y val="2.320428696412948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F69-49D4-90BE-09FD283466D3}"/>
                </c:ext>
              </c:extLst>
            </c:dLbl>
            <c:dLbl>
              <c:idx val="1"/>
              <c:layout>
                <c:manualLayout>
                  <c:x val="2.7280839895013124E-2"/>
                  <c:y val="-8.9030694079906672E-2"/>
                </c:manualLayout>
              </c:layout>
              <c:tx>
                <c:rich>
                  <a:bodyPr/>
                  <a:lstStyle/>
                  <a:p>
                    <a:fld id="{0D6323F9-BDDB-449C-9799-9B0AB99D7FAF}" type="CATEGORYNAME">
                      <a:rPr lang="en-US"/>
                      <a:pPr/>
                      <a:t>[CATEGORY NAME]</a:t>
                    </a:fld>
                    <a:r>
                      <a:rPr lang="en-US"/>
                      <a:t>
</a:t>
                    </a:r>
                    <a:fld id="{8CDB15E5-2397-4B18-BDA7-D1116F5C08F3}" type="PERCENTAGE">
                      <a:rPr lang="en-US"/>
                      <a:pPr/>
                      <a:t>[PERCENTAGE]</a:t>
                    </a:fld>
                    <a:endParaRPr lang="en-US"/>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6F69-49D4-90BE-09FD283466D3}"/>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'6'!$A$4:$A$6</c:f>
              <c:strCache>
                <c:ptCount val="2"/>
                <c:pt idx="0">
                  <c:v>Experienced</c:v>
                </c:pt>
                <c:pt idx="1">
                  <c:v>Fresher</c:v>
                </c:pt>
              </c:strCache>
            </c:strRef>
          </c:cat>
          <c:val>
            <c:numRef>
              <c:f>'6'!$B$4:$B$6</c:f>
              <c:numCache>
                <c:formatCode>0.00%</c:formatCode>
                <c:ptCount val="2"/>
                <c:pt idx="0">
                  <c:v>0.77479892761394098</c:v>
                </c:pt>
                <c:pt idx="1">
                  <c:v>0.22520107238605899</c:v>
                </c:pt>
              </c:numCache>
            </c:numRef>
          </c:val>
          <c:extLst>
            <c:ext xmlns:c16="http://schemas.microsoft.com/office/drawing/2014/chart" uri="{C3380CC4-5D6E-409C-BE32-E72D297353CC}">
              <c16:uniqueId val="{00000000-6F69-49D4-90BE-09FD283466D3}"/>
            </c:ext>
          </c:extLst>
        </c:ser>
        <c:dLbls>
          <c:dLblPos val="ctr"/>
          <c:showLegendKey val="0"/>
          <c:showVal val="0"/>
          <c:showCatName val="0"/>
          <c:showSerName val="0"/>
          <c:showPercent val="1"/>
          <c:showBubbleSize val="0"/>
          <c:showLeaderLines val="0"/>
        </c:dLbls>
      </c:pie3DChart>
      <c:spPr>
        <a:noFill/>
        <a:ln>
          <a:noFill/>
        </a:ln>
        <a:effectLst/>
      </c:spPr>
    </c:plotArea>
    <c:legend>
      <c:legendPos val="r"/>
      <c:layout>
        <c:manualLayout>
          <c:xMode val="edge"/>
          <c:yMode val="edge"/>
          <c:x val="0.72271762904636916"/>
          <c:y val="3.782334499854182E-2"/>
          <c:w val="0.24950459317585308"/>
          <c:h val="0.15625109361329836"/>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10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project.xlsm]1!PivotTable10</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100" b="1">
                <a:solidFill>
                  <a:schemeClr val="tx1"/>
                </a:solidFill>
              </a:rPr>
              <a:t>Level</a:t>
            </a:r>
            <a:r>
              <a:rPr lang="en-IN" sz="1100" b="1" baseline="0">
                <a:solidFill>
                  <a:schemeClr val="tx1"/>
                </a:solidFill>
              </a:rPr>
              <a:t>  Vs Experienced </a:t>
            </a:r>
            <a:endParaRPr lang="en-IN" sz="1100" b="1">
              <a:solidFill>
                <a:schemeClr val="tx1"/>
              </a:solidFill>
            </a:endParaRPr>
          </a:p>
        </c:rich>
      </c:tx>
      <c:layout>
        <c:manualLayout>
          <c:xMode val="edge"/>
          <c:yMode val="edge"/>
          <c:x val="0.12524843877273961"/>
          <c:y val="2.777751583447278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dLbl>
          <c:idx val="0"/>
          <c:layout>
            <c:manualLayout>
              <c:x val="0"/>
              <c:y val="1.01394156343402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dLbl>
          <c:idx val="0"/>
          <c:layout>
            <c:manualLayout>
              <c:x val="0"/>
              <c:y val="1.01394156343402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dLbl>
          <c:idx val="0"/>
          <c:layout>
            <c:manualLayout>
              <c:x val="0"/>
              <c:y val="1.01394156343402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169973376983786E-2"/>
          <c:y val="0.12197717008111268"/>
          <c:w val="0.88990263313859963"/>
          <c:h val="0.79961720379400436"/>
        </c:manualLayout>
      </c:layout>
      <c:barChart>
        <c:barDir val="col"/>
        <c:grouping val="clustered"/>
        <c:varyColors val="0"/>
        <c:ser>
          <c:idx val="0"/>
          <c:order val="0"/>
          <c:tx>
            <c:strRef>
              <c:f>'1'!$B$3:$B$4</c:f>
              <c:strCache>
                <c:ptCount val="1"/>
                <c:pt idx="0">
                  <c:v>Female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'1'!$A$5:$A$6</c:f>
              <c:strCache>
                <c:ptCount val="2"/>
                <c:pt idx="0">
                  <c:v>Experienced</c:v>
                </c:pt>
                <c:pt idx="1">
                  <c:v>Fresher</c:v>
                </c:pt>
              </c:strCache>
            </c:strRef>
          </c:cat>
          <c:val>
            <c:numRef>
              <c:f>'1'!$B$5:$B$6</c:f>
              <c:numCache>
                <c:formatCode>General</c:formatCode>
                <c:ptCount val="2"/>
                <c:pt idx="0">
                  <c:v>138</c:v>
                </c:pt>
                <c:pt idx="1">
                  <c:v>41</c:v>
                </c:pt>
              </c:numCache>
            </c:numRef>
          </c:val>
          <c:extLst>
            <c:ext xmlns:c16="http://schemas.microsoft.com/office/drawing/2014/chart" uri="{C3380CC4-5D6E-409C-BE32-E72D297353CC}">
              <c16:uniqueId val="{00000007-6AA3-49E3-8302-D441DB78F9F1}"/>
            </c:ext>
          </c:extLst>
        </c:ser>
        <c:ser>
          <c:idx val="1"/>
          <c:order val="1"/>
          <c:tx>
            <c:strRef>
              <c:f>'1'!$C$3:$C$4</c:f>
              <c:strCache>
                <c:ptCount val="1"/>
                <c:pt idx="0">
                  <c:v>Male</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122E-4A1F-B745-23D7C877B504}"/>
              </c:ext>
            </c:extLst>
          </c:dPt>
          <c:dLbls>
            <c:dLbl>
              <c:idx val="0"/>
              <c:layout>
                <c:manualLayout>
                  <c:x val="0"/>
                  <c:y val="1.013941563434020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22E-4A1F-B745-23D7C877B5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'1'!$A$5:$A$6</c:f>
              <c:strCache>
                <c:ptCount val="2"/>
                <c:pt idx="0">
                  <c:v>Experienced</c:v>
                </c:pt>
                <c:pt idx="1">
                  <c:v>Fresher</c:v>
                </c:pt>
              </c:strCache>
            </c:strRef>
          </c:cat>
          <c:val>
            <c:numRef>
              <c:f>'1'!$C$5:$C$6</c:f>
              <c:numCache>
                <c:formatCode>General</c:formatCode>
                <c:ptCount val="2"/>
                <c:pt idx="0">
                  <c:v>151</c:v>
                </c:pt>
                <c:pt idx="1">
                  <c:v>43</c:v>
                </c:pt>
              </c:numCache>
            </c:numRef>
          </c:val>
          <c:extLst>
            <c:ext xmlns:c16="http://schemas.microsoft.com/office/drawing/2014/chart" uri="{C3380CC4-5D6E-409C-BE32-E72D297353CC}">
              <c16:uniqueId val="{00000002-F12F-4EBD-A52C-9F9274A10E20}"/>
            </c:ext>
          </c:extLst>
        </c:ser>
        <c:dLbls>
          <c:dLblPos val="outEnd"/>
          <c:showLegendKey val="0"/>
          <c:showVal val="1"/>
          <c:showCatName val="0"/>
          <c:showSerName val="0"/>
          <c:showPercent val="0"/>
          <c:showBubbleSize val="0"/>
        </c:dLbls>
        <c:gapWidth val="219"/>
        <c:overlap val="-27"/>
        <c:axId val="1884175775"/>
        <c:axId val="1884172863"/>
      </c:barChart>
      <c:catAx>
        <c:axId val="1884175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172863"/>
        <c:crosses val="autoZero"/>
        <c:auto val="1"/>
        <c:lblAlgn val="ctr"/>
        <c:lblOffset val="100"/>
        <c:noMultiLvlLbl val="0"/>
      </c:catAx>
      <c:valAx>
        <c:axId val="188417286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175775"/>
        <c:crosses val="autoZero"/>
        <c:crossBetween val="between"/>
      </c:valAx>
      <c:spPr>
        <a:noFill/>
        <a:ln>
          <a:noFill/>
        </a:ln>
        <a:effectLst/>
      </c:spPr>
    </c:plotArea>
    <c:legend>
      <c:legendPos val="r"/>
      <c:layout>
        <c:manualLayout>
          <c:xMode val="edge"/>
          <c:yMode val="edge"/>
          <c:x val="0.7179260717410324"/>
          <c:y val="2.3726305045202706E-2"/>
          <c:w val="0.16301384740700517"/>
          <c:h val="0.260117427518092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project.xlsm]2!PivotTable11</c:name>
    <c:fmtId val="2"/>
  </c:pivotSource>
  <c:chart>
    <c:title>
      <c:tx>
        <c:rich>
          <a:bodyPr rot="0" spcFirstLastPara="1" vertOverflow="ellipsis" vert="horz" wrap="square" anchor="ctr" anchorCtr="1"/>
          <a:lstStyle/>
          <a:p>
            <a:pPr>
              <a:defRPr sz="1100" b="1" i="0" u="sng" strike="noStrike" kern="1200" baseline="0">
                <a:solidFill>
                  <a:schemeClr val="dk1">
                    <a:lumMod val="65000"/>
                    <a:lumOff val="35000"/>
                  </a:schemeClr>
                </a:solidFill>
                <a:latin typeface="+mn-lt"/>
                <a:ea typeface="+mn-ea"/>
                <a:cs typeface="+mn-cs"/>
              </a:defRPr>
            </a:pPr>
            <a:r>
              <a:rPr lang="en-IN" sz="1100" b="1" u="sng">
                <a:solidFill>
                  <a:schemeClr val="tx1"/>
                </a:solidFill>
              </a:rPr>
              <a:t>Salary</a:t>
            </a:r>
            <a:r>
              <a:rPr lang="en-IN" sz="1100" b="1" u="sng" baseline="0">
                <a:solidFill>
                  <a:schemeClr val="tx1"/>
                </a:solidFill>
              </a:rPr>
              <a:t> According to  Level</a:t>
            </a:r>
          </a:p>
          <a:p>
            <a:pPr>
              <a:defRPr sz="1100" u="sng"/>
            </a:pPr>
            <a:endParaRPr lang="en-IN" sz="1100" b="1" u="sng" baseline="0">
              <a:solidFill>
                <a:schemeClr val="tx1"/>
              </a:solidFill>
            </a:endParaRPr>
          </a:p>
        </c:rich>
      </c:tx>
      <c:layout>
        <c:manualLayout>
          <c:xMode val="edge"/>
          <c:yMode val="edge"/>
          <c:x val="0.16748865006739019"/>
          <c:y val="2.788670641254265E-2"/>
        </c:manualLayout>
      </c:layout>
      <c:overlay val="0"/>
      <c:spPr>
        <a:noFill/>
        <a:ln>
          <a:noFill/>
        </a:ln>
        <a:effectLst/>
      </c:spPr>
      <c:txPr>
        <a:bodyPr rot="0" spcFirstLastPara="1" vertOverflow="ellipsis" vert="horz" wrap="square" anchor="ctr" anchorCtr="1"/>
        <a:lstStyle/>
        <a:p>
          <a:pPr>
            <a:defRPr sz="1100" b="1" i="0" u="sng"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dLbl>
          <c:idx val="0"/>
          <c:showLegendKey val="0"/>
          <c:showVal val="1"/>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marker>
          <c:symbol val="circle"/>
          <c:size val="6"/>
        </c:marker>
        <c:dLbl>
          <c:idx val="0"/>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a:noFill/>
          </a:ln>
          <a:effectLst>
            <a:outerShdw blurRad="317500" algn="ctr" rotWithShape="0">
              <a:prstClr val="black">
                <a:alpha val="25000"/>
              </a:prstClr>
            </a:outerShdw>
          </a:effectLst>
        </c:spPr>
        <c:dLbl>
          <c:idx val="0"/>
          <c:layout>
            <c:manualLayout>
              <c:x val="0.11711711711711711"/>
              <c:y val="-3.1372544714110481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2"/>
          </a:solidFill>
          <a:ln>
            <a:noFill/>
          </a:ln>
          <a:effectLst>
            <a:outerShdw blurRad="317500" algn="ctr" rotWithShape="0">
              <a:prstClr val="black">
                <a:alpha val="25000"/>
              </a:prstClr>
            </a:outerShdw>
          </a:effectLst>
        </c:spPr>
        <c:dLbl>
          <c:idx val="0"/>
          <c:layout>
            <c:manualLayout>
              <c:x val="8.7837837837837843E-2"/>
              <c:y val="9.4117634142331319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3"/>
          </a:solidFill>
          <a:ln>
            <a:noFill/>
          </a:ln>
          <a:effectLst>
            <a:outerShdw blurRad="317500" algn="ctr" rotWithShape="0">
              <a:prstClr val="black">
                <a:alpha val="25000"/>
              </a:prstClr>
            </a:outerShdw>
          </a:effectLst>
        </c:spPr>
        <c:dLbl>
          <c:idx val="0"/>
          <c:layout>
            <c:manualLayout>
              <c:x val="-8.55855855855856E-2"/>
              <c:y val="0.1568627235705524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4"/>
          </a:solidFill>
          <a:ln>
            <a:noFill/>
          </a:ln>
          <a:effectLst>
            <a:outerShdw blurRad="317500" algn="ctr" rotWithShape="0">
              <a:prstClr val="black">
                <a:alpha val="25000"/>
              </a:prstClr>
            </a:outerShdw>
          </a:effectLst>
        </c:spPr>
        <c:dLbl>
          <c:idx val="0"/>
          <c:layout>
            <c:manualLayout>
              <c:x val="-6.9819819819819856E-2"/>
              <c:y val="-9.4117634142331444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a:noFill/>
          </a:ln>
          <a:effectLst>
            <a:outerShdw blurRad="317500" algn="ctr" rotWithShape="0">
              <a:prstClr val="black">
                <a:alpha val="25000"/>
              </a:prstClr>
            </a:outerShdw>
          </a:effectLst>
        </c:spPr>
        <c:marker>
          <c:symbol val="none"/>
        </c:marker>
        <c:dLbl>
          <c:idx val="0"/>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a:noFill/>
          </a:ln>
          <a:effectLst>
            <a:outerShdw blurRad="317500" algn="ctr" rotWithShape="0">
              <a:prstClr val="black">
                <a:alpha val="25000"/>
              </a:prstClr>
            </a:outerShdw>
          </a:effectLst>
        </c:spPr>
        <c:dLbl>
          <c:idx val="0"/>
          <c:layout>
            <c:manualLayout>
              <c:x val="0.11711711711711711"/>
              <c:y val="-3.1372544714110481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a:noFill/>
          </a:ln>
          <a:effectLst>
            <a:outerShdw blurRad="317500" algn="ctr" rotWithShape="0">
              <a:prstClr val="black">
                <a:alpha val="25000"/>
              </a:prstClr>
            </a:outerShdw>
          </a:effectLst>
        </c:spPr>
        <c:dLbl>
          <c:idx val="0"/>
          <c:layout>
            <c:manualLayout>
              <c:x val="8.7837837837837843E-2"/>
              <c:y val="9.4117634142331319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a:noFill/>
          </a:ln>
          <a:effectLst>
            <a:outerShdw blurRad="317500" algn="ctr" rotWithShape="0">
              <a:prstClr val="black">
                <a:alpha val="25000"/>
              </a:prstClr>
            </a:outerShdw>
          </a:effectLst>
        </c:spPr>
        <c:dLbl>
          <c:idx val="0"/>
          <c:layout>
            <c:manualLayout>
              <c:x val="-8.55855855855856E-2"/>
              <c:y val="0.1568627235705524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a:noFill/>
          </a:ln>
          <a:effectLst>
            <a:outerShdw blurRad="317500" algn="ctr" rotWithShape="0">
              <a:prstClr val="black">
                <a:alpha val="25000"/>
              </a:prstClr>
            </a:outerShdw>
          </a:effectLst>
        </c:spPr>
        <c:dLbl>
          <c:idx val="0"/>
          <c:layout>
            <c:manualLayout>
              <c:x val="-6.9819819819819856E-2"/>
              <c:y val="-9.4117634142331444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a:noFill/>
          </a:ln>
          <a:effectLst>
            <a:outerShdw blurRad="317500" algn="ctr" rotWithShape="0">
              <a:prstClr val="black">
                <a:alpha val="25000"/>
              </a:prstClr>
            </a:outerShdw>
          </a:effectLst>
        </c:spPr>
        <c:marker>
          <c:symbol val="none"/>
        </c:marker>
        <c:dLbl>
          <c:idx val="0"/>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a:noFill/>
          </a:ln>
          <a:effectLst>
            <a:outerShdw blurRad="317500" algn="ctr" rotWithShape="0">
              <a:prstClr val="black">
                <a:alpha val="25000"/>
              </a:prstClr>
            </a:outerShdw>
          </a:effectLst>
        </c:spPr>
        <c:dLbl>
          <c:idx val="0"/>
          <c:layout>
            <c:manualLayout>
              <c:x val="0.16949806949806945"/>
              <c:y val="-3.1372544714110481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8116635420572422"/>
                  <c:h val="0.19364829396325459"/>
                </c:manualLayout>
              </c15:layout>
            </c:ext>
          </c:extLst>
        </c:dLbl>
      </c:pivotFmt>
      <c:pivotFmt>
        <c:idx val="14"/>
        <c:spPr>
          <a:solidFill>
            <a:schemeClr val="accent1"/>
          </a:solidFill>
          <a:ln>
            <a:noFill/>
          </a:ln>
          <a:effectLst>
            <a:outerShdw blurRad="317500" algn="ctr" rotWithShape="0">
              <a:prstClr val="black">
                <a:alpha val="25000"/>
              </a:prstClr>
            </a:outerShdw>
          </a:effectLst>
        </c:spPr>
        <c:dLbl>
          <c:idx val="0"/>
          <c:layout>
            <c:manualLayout>
              <c:x val="0.13704431202856396"/>
              <c:y val="9.4117634142331319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1546556680414941"/>
                  <c:h val="0.19364829396325459"/>
                </c:manualLayout>
              </c15:layout>
            </c:ext>
          </c:extLst>
        </c:dLbl>
      </c:pivotFmt>
      <c:pivotFmt>
        <c:idx val="15"/>
        <c:spPr>
          <a:solidFill>
            <a:schemeClr val="accent1"/>
          </a:solidFill>
          <a:ln>
            <a:noFill/>
          </a:ln>
          <a:effectLst>
            <a:outerShdw blurRad="317500" algn="ctr" rotWithShape="0">
              <a:prstClr val="black">
                <a:alpha val="25000"/>
              </a:prstClr>
            </a:outerShdw>
          </a:effectLst>
        </c:spPr>
        <c:dLbl>
          <c:idx val="0"/>
          <c:layout>
            <c:manualLayout>
              <c:x val="-0.10622059742532183"/>
              <c:y val="0.17555424730787145"/>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3037270341207347"/>
                  <c:h val="0.19364829396325459"/>
                </c:manualLayout>
              </c15:layout>
            </c:ext>
          </c:extLst>
        </c:dLbl>
      </c:pivotFmt>
      <c:pivotFmt>
        <c:idx val="16"/>
        <c:spPr>
          <a:solidFill>
            <a:schemeClr val="accent1"/>
          </a:solidFill>
          <a:ln>
            <a:noFill/>
          </a:ln>
          <a:effectLst>
            <a:outerShdw blurRad="317500" algn="ctr" rotWithShape="0">
              <a:prstClr val="black">
                <a:alpha val="25000"/>
              </a:prstClr>
            </a:outerShdw>
          </a:effectLst>
        </c:spPr>
        <c:dLbl>
          <c:idx val="0"/>
          <c:layout>
            <c:manualLayout>
              <c:x val="-0.10474040744906889"/>
              <c:y val="-0.13150096892094096"/>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a:noFill/>
          </a:ln>
          <a:effectLst>
            <a:outerShdw blurRad="317500" algn="ctr" rotWithShape="0">
              <a:prstClr val="black">
                <a:alpha val="25000"/>
              </a:prstClr>
            </a:outerShdw>
          </a:effectLst>
        </c:spPr>
        <c:marker>
          <c:symbol val="none"/>
        </c:marker>
        <c:dLbl>
          <c:idx val="0"/>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a:noFill/>
          </a:ln>
          <a:effectLst>
            <a:outerShdw blurRad="317500" algn="ctr" rotWithShape="0">
              <a:prstClr val="black">
                <a:alpha val="25000"/>
              </a:prstClr>
            </a:outerShdw>
          </a:effectLst>
        </c:spPr>
        <c:dLbl>
          <c:idx val="0"/>
          <c:layout>
            <c:manualLayout>
              <c:x val="0.17777777777777778"/>
              <c:y val="-1.8691588785046728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1"/>
          </a:solidFill>
          <a:ln>
            <a:noFill/>
          </a:ln>
          <a:effectLst>
            <a:outerShdw blurRad="317500" algn="ctr" rotWithShape="0">
              <a:prstClr val="black">
                <a:alpha val="25000"/>
              </a:prstClr>
            </a:outerShdw>
          </a:effectLst>
        </c:spPr>
        <c:dLbl>
          <c:idx val="0"/>
          <c:layout>
            <c:manualLayout>
              <c:x val="0.20952380952380953"/>
              <c:y val="4.9844236760124498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1"/>
          </a:solidFill>
          <a:ln>
            <a:noFill/>
          </a:ln>
          <a:effectLst>
            <a:outerShdw blurRad="317500" algn="ctr" rotWithShape="0">
              <a:prstClr val="black">
                <a:alpha val="25000"/>
              </a:prstClr>
            </a:outerShdw>
          </a:effectLst>
        </c:spPr>
        <c:dLbl>
          <c:idx val="0"/>
          <c:layout>
            <c:manualLayout>
              <c:x val="-0.15238095238095239"/>
              <c:y val="0.11838006230529595"/>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solidFill>
            <a:schemeClr val="accent1"/>
          </a:solidFill>
          <a:ln>
            <a:noFill/>
          </a:ln>
          <a:effectLst>
            <a:outerShdw blurRad="317500" algn="ctr" rotWithShape="0">
              <a:prstClr val="black">
                <a:alpha val="25000"/>
              </a:prstClr>
            </a:outerShdw>
          </a:effectLst>
        </c:spPr>
        <c:dLbl>
          <c:idx val="0"/>
          <c:layout>
            <c:manualLayout>
              <c:x val="-0.18095238095238095"/>
              <c:y val="-0.14953271028037385"/>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'2'!$C$3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9056-4AE1-81D2-440FCED6A59D}"/>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9056-4AE1-81D2-440FCED6A59D}"/>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9056-4AE1-81D2-440FCED6A59D}"/>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9056-4AE1-81D2-440FCED6A59D}"/>
              </c:ext>
            </c:extLst>
          </c:dPt>
          <c:dLbls>
            <c:dLbl>
              <c:idx val="0"/>
              <c:layout>
                <c:manualLayout>
                  <c:x val="0.17777777777777778"/>
                  <c:y val="-1.869158878504672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056-4AE1-81D2-440FCED6A59D}"/>
                </c:ext>
              </c:extLst>
            </c:dLbl>
            <c:dLbl>
              <c:idx val="1"/>
              <c:layout>
                <c:manualLayout>
                  <c:x val="0.20952380952380953"/>
                  <c:y val="4.984423676012449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056-4AE1-81D2-440FCED6A59D}"/>
                </c:ext>
              </c:extLst>
            </c:dLbl>
            <c:dLbl>
              <c:idx val="2"/>
              <c:layout>
                <c:manualLayout>
                  <c:x val="-0.15238095238095239"/>
                  <c:y val="0.1183800623052959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056-4AE1-81D2-440FCED6A59D}"/>
                </c:ext>
              </c:extLst>
            </c:dLbl>
            <c:dLbl>
              <c:idx val="3"/>
              <c:layout>
                <c:manualLayout>
                  <c:x val="-0.18095238095238095"/>
                  <c:y val="-0.1495327102803738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9056-4AE1-81D2-440FCED6A59D}"/>
                </c:ext>
              </c:extLst>
            </c:dLbl>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multiLvlStrRef>
              <c:f>'2'!$A$4:$B$9</c:f>
              <c:multiLvlStrCache>
                <c:ptCount val="4"/>
                <c:lvl>
                  <c:pt idx="0">
                    <c:v>Experienced</c:v>
                  </c:pt>
                  <c:pt idx="1">
                    <c:v>Fresher</c:v>
                  </c:pt>
                  <c:pt idx="2">
                    <c:v>Experienced</c:v>
                  </c:pt>
                  <c:pt idx="3">
                    <c:v>Fresher</c:v>
                  </c:pt>
                </c:lvl>
                <c:lvl>
                  <c:pt idx="0">
                    <c:v>Female</c:v>
                  </c:pt>
                  <c:pt idx="2">
                    <c:v>Male</c:v>
                  </c:pt>
                </c:lvl>
              </c:multiLvlStrCache>
            </c:multiLvlStrRef>
          </c:cat>
          <c:val>
            <c:numRef>
              <c:f>'2'!$C$4:$C$9</c:f>
              <c:numCache>
                <c:formatCode>0.00%</c:formatCode>
                <c:ptCount val="4"/>
                <c:pt idx="0">
                  <c:v>0.36997319034852549</c:v>
                </c:pt>
                <c:pt idx="1">
                  <c:v>0.10991957104557641</c:v>
                </c:pt>
                <c:pt idx="2">
                  <c:v>0.40482573726541554</c:v>
                </c:pt>
                <c:pt idx="3">
                  <c:v>0.11528150134048257</c:v>
                </c:pt>
              </c:numCache>
            </c:numRef>
          </c:val>
          <c:extLst>
            <c:ext xmlns:c16="http://schemas.microsoft.com/office/drawing/2014/chart" uri="{C3380CC4-5D6E-409C-BE32-E72D297353CC}">
              <c16:uniqueId val="{0000000C-6398-4D7B-BF1B-5A58756C97CC}"/>
            </c:ext>
          </c:extLst>
        </c:ser>
        <c:dLbls>
          <c:showLegendKey val="0"/>
          <c:showVal val="0"/>
          <c:showCatName val="0"/>
          <c:showSerName val="0"/>
          <c:showPercent val="0"/>
          <c:showBubbleSize val="0"/>
          <c:showLeaderLines val="0"/>
        </c:dLbls>
        <c:firstSliceAng val="0"/>
        <c:holeSize val="50"/>
      </c:doughnutChart>
      <c:spPr>
        <a:noFill/>
        <a:ln>
          <a:noFill/>
        </a:ln>
        <a:effectLst/>
      </c:spPr>
    </c:plotArea>
    <c:legend>
      <c:legendPos val="r"/>
      <c:layout>
        <c:manualLayout>
          <c:xMode val="edge"/>
          <c:yMode val="edge"/>
          <c:x val="0.69196725409323834"/>
          <c:y val="2.8496041926675E-2"/>
          <c:w val="0.28100587426571683"/>
          <c:h val="0.32875364878455621"/>
        </c:manualLayout>
      </c:layout>
      <c:overlay val="0"/>
      <c:spPr>
        <a:solidFill>
          <a:schemeClr val="lt1">
            <a:alpha val="78000"/>
          </a:schemeClr>
        </a:solidFill>
        <a:ln>
          <a:noFill/>
        </a:ln>
        <a:effectLst/>
      </c:spPr>
      <c:txPr>
        <a:bodyPr rot="0" spcFirstLastPara="1" vertOverflow="ellipsis" vert="horz" wrap="square" anchor="ctr" anchorCtr="1"/>
        <a:lstStyle/>
        <a:p>
          <a:pPr>
            <a:defRPr sz="8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ysClr val="windowText" lastClr="000000">
          <a:lumMod val="25000"/>
          <a:lumOff val="75000"/>
        </a:sys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project.xlsm]3!PivotTable12</c:name>
    <c:fmtId val="3"/>
  </c:pivotSource>
  <c:chart>
    <c:title>
      <c:tx>
        <c:rich>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mn-cs"/>
              </a:defRPr>
            </a:pPr>
            <a:r>
              <a:rPr lang="en-IN" sz="1200"/>
              <a:t>Age Group Vs Level </a:t>
            </a:r>
          </a:p>
        </c:rich>
      </c:tx>
      <c:layout>
        <c:manualLayout>
          <c:xMode val="edge"/>
          <c:yMode val="edge"/>
          <c:x val="9.7544962052157264E-2"/>
          <c:y val="6.2015503875968991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2">
                <a:alpha val="85000"/>
              </a:schemeClr>
            </a:solidFill>
            <a:ln>
              <a:noFill/>
            </a:ln>
            <a:effectLst/>
          </c:spPr>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alpha val="85000"/>
            </a:schemeClr>
          </a:solidFill>
          <a:ln w="9525" cap="flat" cmpd="sng" algn="ctr">
            <a:solidFill>
              <a:schemeClr val="lt1">
                <a:alpha val="50000"/>
              </a:schemeClr>
            </a:solidFill>
            <a:round/>
          </a:ln>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alpha val="85000"/>
            </a:schemeClr>
          </a:solidFill>
          <a:ln w="9525" cap="flat" cmpd="sng" algn="ctr">
            <a:solidFill>
              <a:schemeClr val="lt1">
                <a:alpha val="50000"/>
              </a:schemeClr>
            </a:solidFill>
            <a:round/>
          </a:ln>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alpha val="85000"/>
            </a:schemeClr>
          </a:solidFill>
          <a:ln w="9525" cap="flat" cmpd="sng" algn="ctr">
            <a:solidFill>
              <a:schemeClr val="lt1">
                <a:alpha val="50000"/>
              </a:schemeClr>
            </a:solidFill>
            <a:round/>
          </a:ln>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alpha val="85000"/>
            </a:schemeClr>
          </a:solidFill>
          <a:ln w="9525" cap="flat" cmpd="sng" algn="ctr">
            <a:solidFill>
              <a:schemeClr val="lt1">
                <a:alpha val="50000"/>
              </a:schemeClr>
            </a:solidFill>
            <a:round/>
          </a:ln>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735360666123631"/>
          <c:y val="0.19829481779893793"/>
          <c:w val="0.75479203030655651"/>
          <c:h val="0.65783995605200518"/>
        </c:manualLayout>
      </c:layout>
      <c:barChart>
        <c:barDir val="bar"/>
        <c:grouping val="clustered"/>
        <c:varyColors val="0"/>
        <c:ser>
          <c:idx val="0"/>
          <c:order val="0"/>
          <c:tx>
            <c:strRef>
              <c:f>'3'!$B$3:$B$4</c:f>
              <c:strCache>
                <c:ptCount val="1"/>
                <c:pt idx="0">
                  <c:v>Experienced</c:v>
                </c:pt>
              </c:strCache>
            </c:strRef>
          </c:tx>
          <c:spPr>
            <a:solidFill>
              <a:schemeClr val="accent1">
                <a:alpha val="85000"/>
              </a:schemeClr>
            </a:solidFill>
            <a:ln w="9525" cap="flat" cmpd="sng" algn="ctr">
              <a:solidFill>
                <a:schemeClr val="lt1">
                  <a:alpha val="50000"/>
                </a:schemeClr>
              </a:solidFill>
              <a:round/>
            </a:ln>
            <a:effectLst/>
          </c:spPr>
          <c:invertIfNegative val="0"/>
          <c:cat>
            <c:strRef>
              <c:f>'3'!$A$5:$A$7</c:f>
              <c:strCache>
                <c:ptCount val="3"/>
                <c:pt idx="0">
                  <c:v>Adult</c:v>
                </c:pt>
                <c:pt idx="1">
                  <c:v>Senior</c:v>
                </c:pt>
                <c:pt idx="2">
                  <c:v>Teenager</c:v>
                </c:pt>
              </c:strCache>
            </c:strRef>
          </c:cat>
          <c:val>
            <c:numRef>
              <c:f>'3'!$B$5:$B$7</c:f>
              <c:numCache>
                <c:formatCode>General</c:formatCode>
                <c:ptCount val="3"/>
                <c:pt idx="0">
                  <c:v>272</c:v>
                </c:pt>
                <c:pt idx="1">
                  <c:v>17</c:v>
                </c:pt>
              </c:numCache>
            </c:numRef>
          </c:val>
          <c:extLst>
            <c:ext xmlns:c16="http://schemas.microsoft.com/office/drawing/2014/chart" uri="{C3380CC4-5D6E-409C-BE32-E72D297353CC}">
              <c16:uniqueId val="{00000005-6F9C-4F31-879F-598159B6F60A}"/>
            </c:ext>
          </c:extLst>
        </c:ser>
        <c:ser>
          <c:idx val="1"/>
          <c:order val="1"/>
          <c:tx>
            <c:strRef>
              <c:f>'3'!$C$3:$C$4</c:f>
              <c:strCache>
                <c:ptCount val="1"/>
                <c:pt idx="0">
                  <c:v>Fresher</c:v>
                </c:pt>
              </c:strCache>
            </c:strRef>
          </c:tx>
          <c:spPr>
            <a:solidFill>
              <a:schemeClr val="accent2">
                <a:alpha val="85000"/>
              </a:schemeClr>
            </a:solidFill>
            <a:ln w="9525" cap="flat" cmpd="sng" algn="ctr">
              <a:solidFill>
                <a:schemeClr val="lt1">
                  <a:alpha val="50000"/>
                </a:schemeClr>
              </a:solidFill>
              <a:round/>
            </a:ln>
            <a:effectLst/>
          </c:spPr>
          <c:invertIfNegative val="0"/>
          <c:cat>
            <c:strRef>
              <c:f>'3'!$A$5:$A$7</c:f>
              <c:strCache>
                <c:ptCount val="3"/>
                <c:pt idx="0">
                  <c:v>Adult</c:v>
                </c:pt>
                <c:pt idx="1">
                  <c:v>Senior</c:v>
                </c:pt>
                <c:pt idx="2">
                  <c:v>Teenager</c:v>
                </c:pt>
              </c:strCache>
            </c:strRef>
          </c:cat>
          <c:val>
            <c:numRef>
              <c:f>'3'!$C$5:$C$7</c:f>
              <c:numCache>
                <c:formatCode>General</c:formatCode>
                <c:ptCount val="3"/>
                <c:pt idx="0">
                  <c:v>82</c:v>
                </c:pt>
                <c:pt idx="2">
                  <c:v>2</c:v>
                </c:pt>
              </c:numCache>
            </c:numRef>
          </c:val>
          <c:extLst>
            <c:ext xmlns:c16="http://schemas.microsoft.com/office/drawing/2014/chart" uri="{C3380CC4-5D6E-409C-BE32-E72D297353CC}">
              <c16:uniqueId val="{00000001-F4CF-4F87-BFA2-EC56407AC0CC}"/>
            </c:ext>
          </c:extLst>
        </c:ser>
        <c:dLbls>
          <c:showLegendKey val="0"/>
          <c:showVal val="0"/>
          <c:showCatName val="0"/>
          <c:showSerName val="0"/>
          <c:showPercent val="0"/>
          <c:showBubbleSize val="0"/>
        </c:dLbls>
        <c:gapWidth val="65"/>
        <c:axId val="1573041359"/>
        <c:axId val="1573036367"/>
      </c:barChart>
      <c:catAx>
        <c:axId val="1573041359"/>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73036367"/>
        <c:crosses val="autoZero"/>
        <c:auto val="1"/>
        <c:lblAlgn val="ctr"/>
        <c:lblOffset val="100"/>
        <c:noMultiLvlLbl val="0"/>
      </c:catAx>
      <c:valAx>
        <c:axId val="1573036367"/>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573041359"/>
        <c:crosses val="autoZero"/>
        <c:crossBetween val="between"/>
      </c:valAx>
      <c:spPr>
        <a:noFill/>
        <a:ln>
          <a:noFill/>
        </a:ln>
        <a:effectLst/>
      </c:spPr>
    </c:plotArea>
    <c:legend>
      <c:legendPos val="r"/>
      <c:layout>
        <c:manualLayout>
          <c:xMode val="edge"/>
          <c:yMode val="edge"/>
          <c:x val="0.6142544250934151"/>
          <c:y val="6.0763342082239741E-2"/>
          <c:w val="0.19974270457572113"/>
          <c:h val="0.2093037905145578"/>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project.xlsm]4!PivotTable13</c:name>
    <c:fmtId val="2"/>
  </c:pivotSource>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b="1"/>
              <a:t>Education</a:t>
            </a:r>
            <a:r>
              <a:rPr lang="en-US" sz="1100" b="1" baseline="0"/>
              <a:t> Level Of Employee</a:t>
            </a:r>
            <a:endParaRPr lang="en-US" sz="1100" b="1"/>
          </a:p>
        </c:rich>
      </c:tx>
      <c:layout>
        <c:manualLayout>
          <c:xMode val="edge"/>
          <c:yMode val="edge"/>
          <c:x val="7.5301617938426199E-2"/>
          <c:y val="4.38105202752802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c:spPr>
        <c:dLbl>
          <c:idx val="0"/>
          <c:layout>
            <c:manualLayout>
              <c:x val="-5.1540616246498597E-2"/>
              <c:y val="-0.14690824675455902"/>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0272127748737291"/>
                  <c:h val="0.12032929268140542"/>
                </c:manualLayout>
              </c15:layout>
            </c:ext>
          </c:extLst>
        </c:dLbl>
      </c:pivotFmt>
      <c:pivotFmt>
        <c:idx val="2"/>
        <c:spPr>
          <a:solidFill>
            <a:schemeClr val="accent1"/>
          </a:solidFill>
          <a:ln>
            <a:noFill/>
          </a:ln>
          <a:effectLst/>
        </c:spPr>
        <c:dLbl>
          <c:idx val="0"/>
          <c:layout>
            <c:manualLayout>
              <c:x val="3.8095326319504179E-2"/>
              <c:y val="-0.17852159171209997"/>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585690024041111"/>
                  <c:h val="0.10917169319939919"/>
                </c:manualLayout>
              </c15:layout>
            </c:ext>
          </c:extLst>
        </c:dLbl>
      </c:pivotFmt>
      <c:pivotFmt>
        <c:idx val="3"/>
        <c:spPr>
          <a:solidFill>
            <a:schemeClr val="accent1"/>
          </a:solidFill>
          <a:ln>
            <a:noFill/>
          </a:ln>
          <a:effectLst/>
        </c:spPr>
        <c:dLbl>
          <c:idx val="0"/>
          <c:layout>
            <c:manualLayout>
              <c:x val="0.10868347338935574"/>
              <c:y val="-0.3105533320076973"/>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081541277928493"/>
                  <c:h val="0.17983648991877205"/>
                </c:manualLayout>
              </c15:layout>
            </c:ext>
          </c:extLst>
        </c:dLbl>
      </c:pivotFmt>
      <c:pivotFmt>
        <c:idx val="4"/>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a:noFill/>
          </a:ln>
          <a:effectLst/>
        </c:spPr>
        <c:dLbl>
          <c:idx val="0"/>
          <c:layout>
            <c:manualLayout>
              <c:x val="0.10868347338935574"/>
              <c:y val="-0.3105533320076973"/>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081541277928493"/>
                  <c:h val="0.17983648991877205"/>
                </c:manualLayout>
              </c15:layout>
            </c:ext>
          </c:extLst>
        </c:dLbl>
      </c:pivotFmt>
      <c:pivotFmt>
        <c:idx val="6"/>
        <c:spPr>
          <a:solidFill>
            <a:schemeClr val="accent1"/>
          </a:solidFill>
          <a:ln>
            <a:noFill/>
          </a:ln>
          <a:effectLst/>
        </c:spPr>
        <c:dLbl>
          <c:idx val="0"/>
          <c:layout>
            <c:manualLayout>
              <c:x val="3.8095326319504179E-2"/>
              <c:y val="-0.17852159171209997"/>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585690024041111"/>
                  <c:h val="0.10917169319939919"/>
                </c:manualLayout>
              </c15:layout>
            </c:ext>
          </c:extLst>
        </c:dLbl>
      </c:pivotFmt>
      <c:pivotFmt>
        <c:idx val="7"/>
        <c:spPr>
          <a:solidFill>
            <a:schemeClr val="accent1"/>
          </a:solidFill>
          <a:ln>
            <a:noFill/>
          </a:ln>
          <a:effectLst/>
        </c:spPr>
        <c:dLbl>
          <c:idx val="0"/>
          <c:layout>
            <c:manualLayout>
              <c:x val="-5.1540616246498597E-2"/>
              <c:y val="-0.14690824675455902"/>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0272127748737291"/>
                  <c:h val="0.12032929268140542"/>
                </c:manualLayout>
              </c15:layout>
            </c:ext>
          </c:extLst>
        </c:dLbl>
      </c:pivotFmt>
      <c:pivotFmt>
        <c:idx val="8"/>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dLbl>
          <c:idx val="0"/>
          <c:layout>
            <c:manualLayout>
              <c:x val="0.14497766744267365"/>
              <c:y val="-0.30142101308208946"/>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0340380088592078"/>
                  <c:h val="0.19810112776998762"/>
                </c:manualLayout>
              </c15:layout>
            </c:ext>
          </c:extLst>
        </c:dLbl>
      </c:pivotFmt>
      <c:pivotFmt>
        <c:idx val="10"/>
        <c:dLbl>
          <c:idx val="0"/>
          <c:layout>
            <c:manualLayout>
              <c:x val="7.6299588625920331E-2"/>
              <c:y val="-0.2180956147604837"/>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5047010957441213"/>
                  <c:h val="0.17614257121969343"/>
                </c:manualLayout>
              </c15:layout>
            </c:ext>
          </c:extLst>
        </c:dLbl>
      </c:pivotFmt>
      <c:pivotFmt>
        <c:idx val="11"/>
        <c:dLbl>
          <c:idx val="0"/>
          <c:layout>
            <c:manualLayout>
              <c:x val="-2.4797358782874195E-2"/>
              <c:y val="-0.21387912127422434"/>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4092577969301118"/>
                  <c:h val="0.21774182336796938"/>
                </c:manualLayout>
              </c15:layout>
            </c:ext>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dLbl>
          <c:idx val="0"/>
          <c:layout>
            <c:manualLayout>
              <c:x val="8.4291187739463605E-2"/>
              <c:y val="-0.3040934272259394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dLbl>
          <c:idx val="0"/>
          <c:layout>
            <c:manualLayout>
              <c:x val="5.363984674329509E-2"/>
              <c:y val="-0.187134416754424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dLbl>
          <c:idx val="0"/>
          <c:layout>
            <c:manualLayout>
              <c:x val="-1.4048369001953096E-16"/>
              <c:y val="-0.1345028620422425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'4'!$B$3</c:f>
              <c:strCache>
                <c:ptCount val="1"/>
                <c:pt idx="0">
                  <c:v>Total</c:v>
                </c:pt>
              </c:strCache>
            </c:strRef>
          </c:tx>
          <c:spPr>
            <a:solidFill>
              <a:schemeClr val="accent1"/>
            </a:solidFill>
            <a:ln>
              <a:noFill/>
            </a:ln>
            <a:effectLst/>
          </c:spPr>
          <c:dPt>
            <c:idx val="0"/>
            <c:bubble3D val="0"/>
            <c:extLst>
              <c:ext xmlns:c16="http://schemas.microsoft.com/office/drawing/2014/chart" uri="{C3380CC4-5D6E-409C-BE32-E72D297353CC}">
                <c16:uniqueId val="{00000001-C387-4444-9735-5056271A35DE}"/>
              </c:ext>
            </c:extLst>
          </c:dPt>
          <c:dPt>
            <c:idx val="1"/>
            <c:bubble3D val="0"/>
            <c:extLst>
              <c:ext xmlns:c16="http://schemas.microsoft.com/office/drawing/2014/chart" uri="{C3380CC4-5D6E-409C-BE32-E72D297353CC}">
                <c16:uniqueId val="{00000002-C387-4444-9735-5056271A35DE}"/>
              </c:ext>
            </c:extLst>
          </c:dPt>
          <c:dPt>
            <c:idx val="2"/>
            <c:bubble3D val="0"/>
            <c:extLst>
              <c:ext xmlns:c16="http://schemas.microsoft.com/office/drawing/2014/chart" uri="{C3380CC4-5D6E-409C-BE32-E72D297353CC}">
                <c16:uniqueId val="{00000003-C387-4444-9735-5056271A35DE}"/>
              </c:ext>
            </c:extLst>
          </c:dPt>
          <c:dLbls>
            <c:dLbl>
              <c:idx val="0"/>
              <c:layout>
                <c:manualLayout>
                  <c:x val="8.4291187739463605E-2"/>
                  <c:y val="-0.3040934272259394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387-4444-9735-5056271A35DE}"/>
                </c:ext>
              </c:extLst>
            </c:dLbl>
            <c:dLbl>
              <c:idx val="1"/>
              <c:layout>
                <c:manualLayout>
                  <c:x val="5.363984674329509E-2"/>
                  <c:y val="-0.187134416754424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387-4444-9735-5056271A35DE}"/>
                </c:ext>
              </c:extLst>
            </c:dLbl>
            <c:dLbl>
              <c:idx val="2"/>
              <c:layout>
                <c:manualLayout>
                  <c:x val="-1.4048369001953096E-16"/>
                  <c:y val="-0.1345028620422425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387-4444-9735-5056271A35D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'4'!$A$4:$A$7</c:f>
              <c:strCache>
                <c:ptCount val="3"/>
                <c:pt idx="0">
                  <c:v>Bachelor's</c:v>
                </c:pt>
                <c:pt idx="1">
                  <c:v>Master's</c:v>
                </c:pt>
                <c:pt idx="2">
                  <c:v>PhD</c:v>
                </c:pt>
              </c:strCache>
            </c:strRef>
          </c:cat>
          <c:val>
            <c:numRef>
              <c:f>'4'!$B$4:$B$7</c:f>
              <c:numCache>
                <c:formatCode>0.00%</c:formatCode>
                <c:ptCount val="3"/>
                <c:pt idx="0">
                  <c:v>0.60053619302949057</c:v>
                </c:pt>
                <c:pt idx="1">
                  <c:v>0.26273458445040215</c:v>
                </c:pt>
                <c:pt idx="2">
                  <c:v>0.13672922252010725</c:v>
                </c:pt>
              </c:numCache>
            </c:numRef>
          </c:val>
          <c:extLst>
            <c:ext xmlns:c16="http://schemas.microsoft.com/office/drawing/2014/chart" uri="{C3380CC4-5D6E-409C-BE32-E72D297353CC}">
              <c16:uniqueId val="{00000003-6FF2-4E14-9E61-30A2393BA3A9}"/>
            </c:ext>
          </c:extLst>
        </c:ser>
        <c:dLbls>
          <c:showLegendKey val="0"/>
          <c:showVal val="1"/>
          <c:showCatName val="0"/>
          <c:showSerName val="0"/>
          <c:showPercent val="0"/>
          <c:showBubbleSize val="0"/>
        </c:dLbls>
        <c:axId val="1642078271"/>
        <c:axId val="1642065375"/>
      </c:areaChart>
      <c:catAx>
        <c:axId val="16420782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1642065375"/>
        <c:crosses val="autoZero"/>
        <c:auto val="1"/>
        <c:lblAlgn val="ctr"/>
        <c:lblOffset val="100"/>
        <c:noMultiLvlLbl val="0"/>
      </c:catAx>
      <c:valAx>
        <c:axId val="164206537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207827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project.xlsm]5!PivotTable14</c:name>
    <c:fmtId val="2"/>
  </c:pivotSource>
  <c:chart>
    <c:title>
      <c:tx>
        <c:rich>
          <a:bodyPr rot="0" spcFirstLastPara="1" vertOverflow="ellipsis" vert="horz" wrap="square" anchor="ctr" anchorCtr="1"/>
          <a:lstStyle/>
          <a:p>
            <a:pPr>
              <a:defRPr sz="1200" b="1" i="0" u="sng" strike="noStrike" kern="1200" cap="none" baseline="0">
                <a:solidFill>
                  <a:schemeClr val="lt1">
                    <a:lumMod val="85000"/>
                  </a:schemeClr>
                </a:solidFill>
                <a:latin typeface="+mn-lt"/>
                <a:ea typeface="+mn-ea"/>
                <a:cs typeface="+mn-cs"/>
              </a:defRPr>
            </a:pPr>
            <a:r>
              <a:rPr lang="en-US" sz="1200" u="sng">
                <a:solidFill>
                  <a:schemeClr val="bg1"/>
                </a:solidFill>
              </a:rPr>
              <a:t>Salary</a:t>
            </a:r>
            <a:r>
              <a:rPr lang="en-US" sz="1200" u="sng" baseline="0">
                <a:solidFill>
                  <a:schemeClr val="bg1"/>
                </a:solidFill>
              </a:rPr>
              <a:t> according to Job Title</a:t>
            </a:r>
          </a:p>
          <a:p>
            <a:pPr>
              <a:defRPr sz="1200" u="sng"/>
            </a:pPr>
            <a:endParaRPr lang="en-US" sz="1200" u="sng">
              <a:solidFill>
                <a:schemeClr val="bg1"/>
              </a:solidFill>
            </a:endParaRPr>
          </a:p>
        </c:rich>
      </c:tx>
      <c:layout>
        <c:manualLayout>
          <c:xMode val="edge"/>
          <c:yMode val="edge"/>
          <c:x val="0.24401103139063218"/>
          <c:y val="5.1938846627222444E-2"/>
        </c:manualLayout>
      </c:layout>
      <c:overlay val="0"/>
      <c:spPr>
        <a:noFill/>
        <a:ln>
          <a:noFill/>
        </a:ln>
        <a:effectLst/>
      </c:spPr>
      <c:txPr>
        <a:bodyPr rot="0" spcFirstLastPara="1" vertOverflow="ellipsis" vert="horz" wrap="square" anchor="ctr" anchorCtr="1"/>
        <a:lstStyle/>
        <a:p>
          <a:pPr>
            <a:defRPr sz="1200" b="1" i="0" u="sng"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'5'!$B$3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'5'!$A$4:$A$50</c:f>
              <c:strCache>
                <c:ptCount val="47"/>
                <c:pt idx="0">
                  <c:v>Account Manager</c:v>
                </c:pt>
                <c:pt idx="1">
                  <c:v>Accountant</c:v>
                </c:pt>
                <c:pt idx="2">
                  <c:v>Business Analyst</c:v>
                </c:pt>
                <c:pt idx="3">
                  <c:v>CEO</c:v>
                </c:pt>
                <c:pt idx="4">
                  <c:v>Creative Director</c:v>
                </c:pt>
                <c:pt idx="5">
                  <c:v>Customer Service Manager</c:v>
                </c:pt>
                <c:pt idx="6">
                  <c:v>Data Analyst</c:v>
                </c:pt>
                <c:pt idx="7">
                  <c:v>Data Scientist</c:v>
                </c:pt>
                <c:pt idx="8">
                  <c:v>Digital Marketing Manager</c:v>
                </c:pt>
                <c:pt idx="9">
                  <c:v>Financial Manager</c:v>
                </c:pt>
                <c:pt idx="10">
                  <c:v>Graphic Designer</c:v>
                </c:pt>
                <c:pt idx="11">
                  <c:v>Help Desk Analyst</c:v>
                </c:pt>
                <c:pt idx="12">
                  <c:v>HR Manager</c:v>
                </c:pt>
                <c:pt idx="13">
                  <c:v>IT Manager</c:v>
                </c:pt>
                <c:pt idx="14">
                  <c:v>Junior Business Analyst</c:v>
                </c:pt>
                <c:pt idx="15">
                  <c:v>Junior Data Analyst</c:v>
                </c:pt>
                <c:pt idx="16">
                  <c:v>Junior Product Manager</c:v>
                </c:pt>
                <c:pt idx="17">
                  <c:v>Junior Software Developer</c:v>
                </c:pt>
                <c:pt idx="18">
                  <c:v>Junior Software Engineer</c:v>
                </c:pt>
                <c:pt idx="19">
                  <c:v>Junior Web Designer</c:v>
                </c:pt>
                <c:pt idx="20">
                  <c:v>Junior Web Developer</c:v>
                </c:pt>
                <c:pt idx="21">
                  <c:v>Marketing Analyst</c:v>
                </c:pt>
                <c:pt idx="22">
                  <c:v>Marketing Manager</c:v>
                </c:pt>
                <c:pt idx="23">
                  <c:v>Marketing Specialist</c:v>
                </c:pt>
                <c:pt idx="24">
                  <c:v>Network Engineer</c:v>
                </c:pt>
                <c:pt idx="25">
                  <c:v>Office Manager</c:v>
                </c:pt>
                <c:pt idx="26">
                  <c:v>Operations Director</c:v>
                </c:pt>
                <c:pt idx="27">
                  <c:v>Project Engineer</c:v>
                </c:pt>
                <c:pt idx="28">
                  <c:v>Project Manager</c:v>
                </c:pt>
                <c:pt idx="29">
                  <c:v>Public Relations Manager</c:v>
                </c:pt>
                <c:pt idx="30">
                  <c:v>Sales Associate</c:v>
                </c:pt>
                <c:pt idx="31">
                  <c:v>Sales Director</c:v>
                </c:pt>
                <c:pt idx="32">
                  <c:v>Sales Manager</c:v>
                </c:pt>
                <c:pt idx="33">
                  <c:v>Senior Data Analyst</c:v>
                </c:pt>
                <c:pt idx="34">
                  <c:v>Senior Data Engineer</c:v>
                </c:pt>
                <c:pt idx="35">
                  <c:v>Senior Data Scientist</c:v>
                </c:pt>
                <c:pt idx="36">
                  <c:v>Senior Financial Analyst</c:v>
                </c:pt>
                <c:pt idx="37">
                  <c:v>Senior Human Resources Manager</c:v>
                </c:pt>
                <c:pt idx="38">
                  <c:v>Senior Marketing Manager</c:v>
                </c:pt>
                <c:pt idx="39">
                  <c:v>Senior Sales Manager</c:v>
                </c:pt>
                <c:pt idx="40">
                  <c:v>Senior Scientist</c:v>
                </c:pt>
                <c:pt idx="41">
                  <c:v>Senior Software Developer</c:v>
                </c:pt>
                <c:pt idx="42">
                  <c:v>Social Media Manager</c:v>
                </c:pt>
                <c:pt idx="43">
                  <c:v>Software Engineer</c:v>
                </c:pt>
                <c:pt idx="44">
                  <c:v>Supply Chain Manager</c:v>
                </c:pt>
                <c:pt idx="45">
                  <c:v>Training Specialist</c:v>
                </c:pt>
                <c:pt idx="46">
                  <c:v>Web Developer</c:v>
                </c:pt>
              </c:strCache>
            </c:strRef>
          </c:cat>
          <c:val>
            <c:numRef>
              <c:f>'5'!$B$4:$B$50</c:f>
              <c:numCache>
                <c:formatCode>0.00%</c:formatCode>
                <c:ptCount val="47"/>
                <c:pt idx="0">
                  <c:v>1.020408163265306E-2</c:v>
                </c:pt>
                <c:pt idx="1">
                  <c:v>1.020408163265306E-2</c:v>
                </c:pt>
                <c:pt idx="2">
                  <c:v>2.0408163265306121E-2</c:v>
                </c:pt>
                <c:pt idx="3">
                  <c:v>1.020408163265306E-2</c:v>
                </c:pt>
                <c:pt idx="4">
                  <c:v>1.020408163265306E-2</c:v>
                </c:pt>
                <c:pt idx="5">
                  <c:v>2.0408163265306121E-2</c:v>
                </c:pt>
                <c:pt idx="6">
                  <c:v>2.0408163265306121E-2</c:v>
                </c:pt>
                <c:pt idx="7">
                  <c:v>1.020408163265306E-2</c:v>
                </c:pt>
                <c:pt idx="8">
                  <c:v>1.020408163265306E-2</c:v>
                </c:pt>
                <c:pt idx="9">
                  <c:v>1.020408163265306E-2</c:v>
                </c:pt>
                <c:pt idx="10">
                  <c:v>1.020408163265306E-2</c:v>
                </c:pt>
                <c:pt idx="11">
                  <c:v>1.020408163265306E-2</c:v>
                </c:pt>
                <c:pt idx="12">
                  <c:v>2.0408163265306121E-2</c:v>
                </c:pt>
                <c:pt idx="13">
                  <c:v>1.020408163265306E-2</c:v>
                </c:pt>
                <c:pt idx="14">
                  <c:v>8.1632653061224483E-2</c:v>
                </c:pt>
                <c:pt idx="15">
                  <c:v>1.020408163265306E-2</c:v>
                </c:pt>
                <c:pt idx="16">
                  <c:v>4.0816326530612242E-2</c:v>
                </c:pt>
                <c:pt idx="17">
                  <c:v>2.0408163265306121E-2</c:v>
                </c:pt>
                <c:pt idx="18">
                  <c:v>1.020408163265306E-2</c:v>
                </c:pt>
                <c:pt idx="19">
                  <c:v>1.020408163265306E-2</c:v>
                </c:pt>
                <c:pt idx="20">
                  <c:v>1.020408163265306E-2</c:v>
                </c:pt>
                <c:pt idx="21">
                  <c:v>2.0408163265306121E-2</c:v>
                </c:pt>
                <c:pt idx="22">
                  <c:v>1.020408163265306E-2</c:v>
                </c:pt>
                <c:pt idx="23">
                  <c:v>1.020408163265306E-2</c:v>
                </c:pt>
                <c:pt idx="24">
                  <c:v>1.020408163265306E-2</c:v>
                </c:pt>
                <c:pt idx="25">
                  <c:v>1.020408163265306E-2</c:v>
                </c:pt>
                <c:pt idx="26">
                  <c:v>1.020408163265306E-2</c:v>
                </c:pt>
                <c:pt idx="27">
                  <c:v>1.020408163265306E-2</c:v>
                </c:pt>
                <c:pt idx="28">
                  <c:v>2.0408163265306121E-2</c:v>
                </c:pt>
                <c:pt idx="29">
                  <c:v>1.020408163265306E-2</c:v>
                </c:pt>
                <c:pt idx="30">
                  <c:v>2.0408163265306121E-2</c:v>
                </c:pt>
                <c:pt idx="31">
                  <c:v>1.020408163265306E-2</c:v>
                </c:pt>
                <c:pt idx="32">
                  <c:v>3.0612244897959183E-2</c:v>
                </c:pt>
                <c:pt idx="33">
                  <c:v>3.0612244897959183E-2</c:v>
                </c:pt>
                <c:pt idx="34">
                  <c:v>4.0816326530612242E-2</c:v>
                </c:pt>
                <c:pt idx="35">
                  <c:v>7.1428571428571425E-2</c:v>
                </c:pt>
                <c:pt idx="36">
                  <c:v>7.1428571428571425E-2</c:v>
                </c:pt>
                <c:pt idx="37">
                  <c:v>2.0408163265306121E-2</c:v>
                </c:pt>
                <c:pt idx="38">
                  <c:v>9.1836734693877556E-2</c:v>
                </c:pt>
                <c:pt idx="39">
                  <c:v>2.0408163265306121E-2</c:v>
                </c:pt>
                <c:pt idx="40">
                  <c:v>3.0612244897959183E-2</c:v>
                </c:pt>
                <c:pt idx="41">
                  <c:v>3.0612244897959183E-2</c:v>
                </c:pt>
                <c:pt idx="42">
                  <c:v>1.020408163265306E-2</c:v>
                </c:pt>
                <c:pt idx="43">
                  <c:v>1.020408163265306E-2</c:v>
                </c:pt>
                <c:pt idx="44">
                  <c:v>1.020408163265306E-2</c:v>
                </c:pt>
                <c:pt idx="45">
                  <c:v>1.020408163265306E-2</c:v>
                </c:pt>
                <c:pt idx="46">
                  <c:v>1.020408163265306E-2</c:v>
                </c:pt>
              </c:numCache>
            </c:numRef>
          </c:val>
          <c:extLst>
            <c:ext xmlns:c16="http://schemas.microsoft.com/office/drawing/2014/chart" uri="{C3380CC4-5D6E-409C-BE32-E72D297353CC}">
              <c16:uniqueId val="{00000003-44BE-4B82-AD29-E28B0DCD9DC3}"/>
            </c:ext>
          </c:extLst>
        </c:ser>
        <c:dLbls>
          <c:showLegendKey val="0"/>
          <c:showVal val="0"/>
          <c:showCatName val="0"/>
          <c:showSerName val="0"/>
          <c:showPercent val="0"/>
          <c:showBubbleSize val="0"/>
        </c:dLbls>
        <c:gapWidth val="315"/>
        <c:overlap val="-40"/>
        <c:axId val="1642089919"/>
        <c:axId val="1642090751"/>
      </c:barChart>
      <c:catAx>
        <c:axId val="1642089919"/>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0"/>
          <a:lstStyle/>
          <a:p>
            <a:pPr>
              <a:defRPr sz="900" b="0" i="0" u="none" strike="noStrike" kern="1200" baseline="0">
                <a:solidFill>
                  <a:schemeClr val="lt1">
                    <a:lumMod val="75000"/>
                  </a:schemeClr>
                </a:solidFill>
                <a:latin typeface="+mn-lt"/>
                <a:ea typeface="+mn-ea"/>
                <a:cs typeface="+mn-cs"/>
              </a:defRPr>
            </a:pPr>
            <a:endParaRPr lang="en-US"/>
          </a:p>
        </c:txPr>
        <c:crossAx val="1642090751"/>
        <c:crosses val="autoZero"/>
        <c:auto val="1"/>
        <c:lblAlgn val="ctr"/>
        <c:lblOffset val="100"/>
        <c:noMultiLvlLbl val="0"/>
      </c:catAx>
      <c:valAx>
        <c:axId val="164209075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42089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project.xlsm]6!PivotTable15</c:name>
    <c:fmtId val="3"/>
  </c:pivotSource>
  <c:chart>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Salary On THe Basis Of Level</a:t>
            </a:r>
          </a:p>
        </c:rich>
      </c:tx>
      <c:layout>
        <c:manualLayout>
          <c:xMode val="edge"/>
          <c:yMode val="edge"/>
          <c:x val="3.4345568342418739E-2"/>
          <c:y val="4.0898254111434808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spPr>
          <a:solidFill>
            <a:schemeClr val="accent1"/>
          </a:solidFill>
          <a:ln>
            <a:noFill/>
          </a:ln>
          <a:effectLst>
            <a:outerShdw blurRad="254000" sx="102000" sy="102000" algn="ctr" rotWithShape="0">
              <a:prstClr val="black">
                <a:alpha val="20000"/>
              </a:prstClr>
            </a:outerShdw>
          </a:effectLst>
          <a:sp3d/>
        </c:spPr>
        <c:dLbl>
          <c:idx val="0"/>
          <c:layout>
            <c:manualLayout>
              <c:x val="1.1785870516185475E-2"/>
              <c:y val="2.320428696412948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
        <c:spPr>
          <a:solidFill>
            <a:schemeClr val="accent2"/>
          </a:solidFill>
          <a:ln>
            <a:noFill/>
          </a:ln>
          <a:effectLst>
            <a:outerShdw blurRad="254000" sx="102000" sy="102000" algn="ctr" rotWithShape="0">
              <a:prstClr val="black">
                <a:alpha val="20000"/>
              </a:prstClr>
            </a:outerShdw>
          </a:effectLst>
          <a:sp3d/>
        </c:spPr>
        <c:dLbl>
          <c:idx val="0"/>
          <c:layout>
            <c:manualLayout>
              <c:x val="2.7280839895013124E-2"/>
              <c:y val="-8.9030694079906672E-2"/>
            </c:manualLayout>
          </c:layout>
          <c:tx>
            <c:rich>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0D6323F9-BDDB-449C-9799-9B0AB99D7FAF}" type="CATEGORYNAME">
                  <a:rPr lang="en-US"/>
                  <a:pPr>
                    <a:defRPr sz="1000" b="1" i="0" u="none" strike="noStrike" kern="1200" baseline="0">
                      <a:solidFill>
                        <a:schemeClr val="lt1"/>
                      </a:solidFill>
                      <a:latin typeface="+mn-lt"/>
                      <a:ea typeface="+mn-ea"/>
                      <a:cs typeface="+mn-cs"/>
                    </a:defRPr>
                  </a:pPr>
                  <a:t>[CATEGORY NAME]</a:t>
                </a:fld>
                <a:r>
                  <a:rPr lang="en-US"/>
                  <a:t>
</a:t>
                </a:r>
                <a:fld id="{8CDB15E5-2397-4B18-BDA7-D1116F5C08F3}" type="PERCENTAGE">
                  <a:rPr lang="en-US"/>
                  <a:pPr>
                    <a:defRPr sz="1000" b="1" i="0" u="none" strike="noStrike" kern="1200" baseline="0">
                      <a:solidFill>
                        <a:schemeClr val="lt1"/>
                      </a:solidFill>
                      <a:latin typeface="+mn-lt"/>
                      <a:ea typeface="+mn-ea"/>
                      <a:cs typeface="+mn-cs"/>
                    </a:defRPr>
                  </a:pPr>
                  <a:t>[PERCENTAGE]</a:t>
                </a:fld>
                <a:endParaRPr lang="en-US"/>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dlblFieldTable/>
              <c15:showDataLabelsRange val="0"/>
            </c:ext>
          </c:extLst>
        </c:dLbl>
      </c:pivotFmt>
      <c:pivotFmt>
        <c:idx val="3"/>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4"/>
        <c:spPr>
          <a:solidFill>
            <a:schemeClr val="accent1"/>
          </a:solidFill>
          <a:ln>
            <a:noFill/>
          </a:ln>
          <a:effectLst>
            <a:outerShdw blurRad="254000" sx="102000" sy="102000" algn="ctr" rotWithShape="0">
              <a:prstClr val="black">
                <a:alpha val="20000"/>
              </a:prstClr>
            </a:outerShdw>
          </a:effectLst>
          <a:sp3d/>
        </c:spPr>
        <c:dLbl>
          <c:idx val="0"/>
          <c:layout>
            <c:manualLayout>
              <c:x val="1.1785870516185475E-2"/>
              <c:y val="2.320428696412948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5"/>
        <c:spPr>
          <a:solidFill>
            <a:schemeClr val="accent1"/>
          </a:solidFill>
          <a:ln>
            <a:noFill/>
          </a:ln>
          <a:effectLst>
            <a:outerShdw blurRad="254000" sx="102000" sy="102000" algn="ctr" rotWithShape="0">
              <a:prstClr val="black">
                <a:alpha val="20000"/>
              </a:prstClr>
            </a:outerShdw>
          </a:effectLst>
          <a:sp3d/>
        </c:spPr>
        <c:dLbl>
          <c:idx val="0"/>
          <c:layout>
            <c:manualLayout>
              <c:x val="2.7280839895013124E-2"/>
              <c:y val="-8.9030694079906672E-2"/>
            </c:manualLayout>
          </c:layout>
          <c:tx>
            <c:rich>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0D6323F9-BDDB-449C-9799-9B0AB99D7FAF}" type="CATEGORYNAME">
                  <a:rPr lang="en-US"/>
                  <a:pPr>
                    <a:defRPr sz="1000" b="1" i="0" u="none" strike="noStrike" kern="1200" baseline="0">
                      <a:solidFill>
                        <a:schemeClr val="lt1"/>
                      </a:solidFill>
                      <a:latin typeface="+mn-lt"/>
                      <a:ea typeface="+mn-ea"/>
                      <a:cs typeface="+mn-cs"/>
                    </a:defRPr>
                  </a:pPr>
                  <a:t>[CATEGORY NAME]</a:t>
                </a:fld>
                <a:r>
                  <a:rPr lang="en-US"/>
                  <a:t>
</a:t>
                </a:r>
                <a:fld id="{8CDB15E5-2397-4B18-BDA7-D1116F5C08F3}" type="PERCENTAGE">
                  <a:rPr lang="en-US"/>
                  <a:pPr>
                    <a:defRPr sz="1000" b="1" i="0" u="none" strike="noStrike" kern="1200" baseline="0">
                      <a:solidFill>
                        <a:schemeClr val="lt1"/>
                      </a:solidFill>
                      <a:latin typeface="+mn-lt"/>
                      <a:ea typeface="+mn-ea"/>
                      <a:cs typeface="+mn-cs"/>
                    </a:defRPr>
                  </a:pPr>
                  <a:t>[PERCENTAGE]</a:t>
                </a:fld>
                <a:endParaRPr lang="en-US"/>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dlblFieldTable/>
              <c15:showDataLabelsRange val="0"/>
            </c:ext>
          </c:extLst>
        </c:dLbl>
      </c:pivotFmt>
      <c:pivotFmt>
        <c:idx val="6"/>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7"/>
        <c:spPr>
          <a:solidFill>
            <a:schemeClr val="accent1"/>
          </a:solidFill>
          <a:ln>
            <a:noFill/>
          </a:ln>
          <a:effectLst>
            <a:outerShdw blurRad="254000" sx="102000" sy="102000" algn="ctr" rotWithShape="0">
              <a:prstClr val="black">
                <a:alpha val="20000"/>
              </a:prstClr>
            </a:outerShdw>
          </a:effectLst>
          <a:sp3d/>
        </c:spPr>
        <c:dLbl>
          <c:idx val="0"/>
          <c:layout>
            <c:manualLayout>
              <c:x val="2.7186593983444373E-2"/>
              <c:y val="0.23923178831642558"/>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layout>
                <c:manualLayout>
                  <c:w val="0.26111916010498681"/>
                  <c:h val="0.21369244791617623"/>
                </c:manualLayout>
              </c15:layout>
            </c:ext>
          </c:extLst>
        </c:dLbl>
      </c:pivotFmt>
      <c:pivotFmt>
        <c:idx val="8"/>
        <c:spPr>
          <a:solidFill>
            <a:schemeClr val="accent1"/>
          </a:solidFill>
          <a:ln>
            <a:noFill/>
          </a:ln>
          <a:effectLst>
            <a:outerShdw blurRad="254000" sx="102000" sy="102000" algn="ctr" rotWithShape="0">
              <a:prstClr val="black">
                <a:alpha val="20000"/>
              </a:prstClr>
            </a:outerShdw>
          </a:effectLst>
          <a:sp3d/>
        </c:spPr>
        <c:dLbl>
          <c:idx val="0"/>
          <c:layout>
            <c:manualLayout>
              <c:x val="2.7280839895013124E-2"/>
              <c:y val="-8.9030694079906672E-2"/>
            </c:manualLayout>
          </c:layout>
          <c:tx>
            <c:rich>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0D6323F9-BDDB-449C-9799-9B0AB99D7FAF}" type="CATEGORYNAME">
                  <a:rPr lang="en-US"/>
                  <a:pPr>
                    <a:defRPr/>
                  </a:pPr>
                  <a:t>[CATEGORY NAME]</a:t>
                </a:fld>
                <a:r>
                  <a:rPr lang="en-US"/>
                  <a:t>
</a:t>
                </a:r>
                <a:fld id="{8CDB15E5-2397-4B18-BDA7-D1116F5C08F3}" type="PERCENTAGE">
                  <a:rPr lang="en-US"/>
                  <a:pPr>
                    <a:defRPr/>
                  </a:pPr>
                  <a:t>[PERCENTAGE]</a:t>
                </a:fld>
                <a:endParaRPr lang="en-US"/>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dlblFieldTable/>
              <c15:showDataLabelsRange val="0"/>
            </c:ext>
          </c:extLst>
        </c:dLbl>
      </c:pivotFmt>
    </c:pivotFmts>
    <c:view3D>
      <c:rotX val="50"/>
      <c:rotY val="14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7777777777777779E-3"/>
          <c:y val="0.17970235205091595"/>
          <c:w val="0.87715900897003263"/>
          <c:h val="0.80640862392514012"/>
        </c:manualLayout>
      </c:layout>
      <c:pie3DChart>
        <c:varyColors val="1"/>
        <c:ser>
          <c:idx val="0"/>
          <c:order val="0"/>
          <c:tx>
            <c:strRef>
              <c:f>'6'!$B$3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BCD9-428B-8057-6ADACBB7186F}"/>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BCD9-428B-8057-6ADACBB7186F}"/>
              </c:ext>
            </c:extLst>
          </c:dPt>
          <c:dLbls>
            <c:dLbl>
              <c:idx val="0"/>
              <c:layout>
                <c:manualLayout>
                  <c:x val="2.7186593983444373E-2"/>
                  <c:y val="0.23923178831642558"/>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26111916010498681"/>
                      <c:h val="0.21369244791617623"/>
                    </c:manualLayout>
                  </c15:layout>
                </c:ext>
                <c:ext xmlns:c16="http://schemas.microsoft.com/office/drawing/2014/chart" uri="{C3380CC4-5D6E-409C-BE32-E72D297353CC}">
                  <c16:uniqueId val="{00000001-BCD9-428B-8057-6ADACBB7186F}"/>
                </c:ext>
              </c:extLst>
            </c:dLbl>
            <c:dLbl>
              <c:idx val="1"/>
              <c:layout>
                <c:manualLayout>
                  <c:x val="2.7280839895013124E-2"/>
                  <c:y val="-8.9030694079906672E-2"/>
                </c:manualLayout>
              </c:layout>
              <c:tx>
                <c:rich>
                  <a:bodyPr/>
                  <a:lstStyle/>
                  <a:p>
                    <a:fld id="{0D6323F9-BDDB-449C-9799-9B0AB99D7FAF}" type="CATEGORYNAME">
                      <a:rPr lang="en-US"/>
                      <a:pPr/>
                      <a:t>[CATEGORY NAME]</a:t>
                    </a:fld>
                    <a:r>
                      <a:rPr lang="en-US"/>
                      <a:t>
</a:t>
                    </a:r>
                    <a:fld id="{8CDB15E5-2397-4B18-BDA7-D1116F5C08F3}" type="PERCENTAGE">
                      <a:rPr lang="en-US"/>
                      <a:pPr/>
                      <a:t>[PERCENTAGE]</a:t>
                    </a:fld>
                    <a:endParaRPr lang="en-US"/>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BCD9-428B-8057-6ADACBB7186F}"/>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'6'!$A$4:$A$6</c:f>
              <c:strCache>
                <c:ptCount val="2"/>
                <c:pt idx="0">
                  <c:v>Experienced</c:v>
                </c:pt>
                <c:pt idx="1">
                  <c:v>Fresher</c:v>
                </c:pt>
              </c:strCache>
            </c:strRef>
          </c:cat>
          <c:val>
            <c:numRef>
              <c:f>'6'!$B$4:$B$6</c:f>
              <c:numCache>
                <c:formatCode>0.00%</c:formatCode>
                <c:ptCount val="2"/>
                <c:pt idx="0">
                  <c:v>0.77479892761394098</c:v>
                </c:pt>
                <c:pt idx="1">
                  <c:v>0.22520107238605899</c:v>
                </c:pt>
              </c:numCache>
            </c:numRef>
          </c:val>
          <c:extLst>
            <c:ext xmlns:c16="http://schemas.microsoft.com/office/drawing/2014/chart" uri="{C3380CC4-5D6E-409C-BE32-E72D297353CC}">
              <c16:uniqueId val="{00000004-BCD9-428B-8057-6ADACBB7186F}"/>
            </c:ext>
          </c:extLst>
        </c:ser>
        <c:dLbls>
          <c:dLblPos val="ctr"/>
          <c:showLegendKey val="0"/>
          <c:showVal val="0"/>
          <c:showCatName val="0"/>
          <c:showSerName val="0"/>
          <c:showPercent val="1"/>
          <c:showBubbleSize val="0"/>
          <c:showLeaderLines val="0"/>
        </c:dLbls>
      </c:pie3DChart>
      <c:spPr>
        <a:noFill/>
        <a:ln>
          <a:noFill/>
        </a:ln>
        <a:effectLst/>
      </c:spPr>
    </c:plotArea>
    <c:legend>
      <c:legendPos val="r"/>
      <c:layout>
        <c:manualLayout>
          <c:xMode val="edge"/>
          <c:yMode val="edge"/>
          <c:x val="0.72271762904636916"/>
          <c:y val="3.782334499854182E-2"/>
          <c:w val="0.24950459317585308"/>
          <c:h val="0.15625109361329836"/>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10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3</xdr:col>
      <xdr:colOff>314325</xdr:colOff>
      <xdr:row>1</xdr:row>
      <xdr:rowOff>100011</xdr:rowOff>
    </xdr:from>
    <xdr:to>
      <xdr:col>21</xdr:col>
      <xdr:colOff>9525</xdr:colOff>
      <xdr:row>21</xdr:row>
      <xdr:rowOff>47624</xdr:rowOff>
    </xdr:to>
    <xdr:graphicFrame macro="">
      <xdr:nvGraphicFramePr>
        <xdr:cNvPr id="2" name="Chart 1">
          <a:extLst>
            <a:ext uri="{FF2B5EF4-FFF2-40B4-BE49-F238E27FC236}">
              <a16:creationId xmlns:a16="http://schemas.microsoft.com/office/drawing/2014/main" id="{3C8FEEEC-F561-4798-A3C4-0BD9BD334A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266700</xdr:colOff>
      <xdr:row>2</xdr:row>
      <xdr:rowOff>4761</xdr:rowOff>
    </xdr:from>
    <xdr:to>
      <xdr:col>12</xdr:col>
      <xdr:colOff>276225</xdr:colOff>
      <xdr:row>21</xdr:row>
      <xdr:rowOff>28574</xdr:rowOff>
    </xdr:to>
    <xdr:graphicFrame macro="">
      <xdr:nvGraphicFramePr>
        <xdr:cNvPr id="2" name="Chart 1">
          <a:extLst>
            <a:ext uri="{FF2B5EF4-FFF2-40B4-BE49-F238E27FC236}">
              <a16:creationId xmlns:a16="http://schemas.microsoft.com/office/drawing/2014/main" id="{8BC63B82-CA88-4099-A41E-18569816F8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171450</xdr:colOff>
      <xdr:row>2</xdr:row>
      <xdr:rowOff>100012</xdr:rowOff>
    </xdr:from>
    <xdr:to>
      <xdr:col>11</xdr:col>
      <xdr:colOff>571500</xdr:colOff>
      <xdr:row>20</xdr:row>
      <xdr:rowOff>171450</xdr:rowOff>
    </xdr:to>
    <xdr:graphicFrame macro="">
      <xdr:nvGraphicFramePr>
        <xdr:cNvPr id="2" name="Chart 1">
          <a:extLst>
            <a:ext uri="{FF2B5EF4-FFF2-40B4-BE49-F238E27FC236}">
              <a16:creationId xmlns:a16="http://schemas.microsoft.com/office/drawing/2014/main" id="{C58E4941-12F6-4085-80B6-C1DF5A29D8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704850</xdr:colOff>
      <xdr:row>2</xdr:row>
      <xdr:rowOff>4761</xdr:rowOff>
    </xdr:from>
    <xdr:to>
      <xdr:col>12</xdr:col>
      <xdr:colOff>85725</xdr:colOff>
      <xdr:row>19</xdr:row>
      <xdr:rowOff>180974</xdr:rowOff>
    </xdr:to>
    <xdr:graphicFrame macro="">
      <xdr:nvGraphicFramePr>
        <xdr:cNvPr id="2" name="Chart 1">
          <a:extLst>
            <a:ext uri="{FF2B5EF4-FFF2-40B4-BE49-F238E27FC236}">
              <a16:creationId xmlns:a16="http://schemas.microsoft.com/office/drawing/2014/main" id="{D7F62006-918C-4ACB-B990-8A1F9E2F20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371475</xdr:colOff>
      <xdr:row>1</xdr:row>
      <xdr:rowOff>38101</xdr:rowOff>
    </xdr:from>
    <xdr:to>
      <xdr:col>6</xdr:col>
      <xdr:colOff>342900</xdr:colOff>
      <xdr:row>21</xdr:row>
      <xdr:rowOff>123825</xdr:rowOff>
    </xdr:to>
    <xdr:graphicFrame macro="">
      <xdr:nvGraphicFramePr>
        <xdr:cNvPr id="2" name="Chart 1">
          <a:extLst>
            <a:ext uri="{FF2B5EF4-FFF2-40B4-BE49-F238E27FC236}">
              <a16:creationId xmlns:a16="http://schemas.microsoft.com/office/drawing/2014/main" id="{FB675392-1124-43A1-A5F8-39FDFDA8C0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85725</xdr:colOff>
      <xdr:row>2</xdr:row>
      <xdr:rowOff>142876</xdr:rowOff>
    </xdr:from>
    <xdr:to>
      <xdr:col>29</xdr:col>
      <xdr:colOff>466725</xdr:colOff>
      <xdr:row>20</xdr:row>
      <xdr:rowOff>114300</xdr:rowOff>
    </xdr:to>
    <xdr:graphicFrame macro="">
      <xdr:nvGraphicFramePr>
        <xdr:cNvPr id="3" name="Chart 2">
          <a:extLst>
            <a:ext uri="{FF2B5EF4-FFF2-40B4-BE49-F238E27FC236}">
              <a16:creationId xmlns:a16="http://schemas.microsoft.com/office/drawing/2014/main" id="{032071AE-9408-40F5-846C-8B2BA4EC90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xdr:colOff>
      <xdr:row>1</xdr:row>
      <xdr:rowOff>19050</xdr:rowOff>
    </xdr:from>
    <xdr:to>
      <xdr:col>5</xdr:col>
      <xdr:colOff>295275</xdr:colOff>
      <xdr:row>9</xdr:row>
      <xdr:rowOff>142875</xdr:rowOff>
    </xdr:to>
    <xdr:graphicFrame macro="">
      <xdr:nvGraphicFramePr>
        <xdr:cNvPr id="2" name="Chart 1">
          <a:extLst>
            <a:ext uri="{FF2B5EF4-FFF2-40B4-BE49-F238E27FC236}">
              <a16:creationId xmlns:a16="http://schemas.microsoft.com/office/drawing/2014/main" id="{A318D50D-14E9-4699-A322-EB61F48DDD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333375</xdr:colOff>
      <xdr:row>1</xdr:row>
      <xdr:rowOff>19050</xdr:rowOff>
    </xdr:from>
    <xdr:to>
      <xdr:col>12</xdr:col>
      <xdr:colOff>66675</xdr:colOff>
      <xdr:row>11</xdr:row>
      <xdr:rowOff>152400</xdr:rowOff>
    </xdr:to>
    <xdr:graphicFrame macro="">
      <xdr:nvGraphicFramePr>
        <xdr:cNvPr id="4" name="Chart 3">
          <a:extLst>
            <a:ext uri="{FF2B5EF4-FFF2-40B4-BE49-F238E27FC236}">
              <a16:creationId xmlns:a16="http://schemas.microsoft.com/office/drawing/2014/main" id="{76FAA22C-FBB5-48E8-8AD8-927B75C6D3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133351</xdr:colOff>
      <xdr:row>1</xdr:row>
      <xdr:rowOff>19050</xdr:rowOff>
    </xdr:from>
    <xdr:to>
      <xdr:col>18</xdr:col>
      <xdr:colOff>342901</xdr:colOff>
      <xdr:row>11</xdr:row>
      <xdr:rowOff>161925</xdr:rowOff>
    </xdr:to>
    <xdr:graphicFrame macro="">
      <xdr:nvGraphicFramePr>
        <xdr:cNvPr id="5" name="Chart 4">
          <a:extLst>
            <a:ext uri="{FF2B5EF4-FFF2-40B4-BE49-F238E27FC236}">
              <a16:creationId xmlns:a16="http://schemas.microsoft.com/office/drawing/2014/main" id="{80FE4451-1015-4779-8E0F-F0DB2F4C3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28575</xdr:colOff>
      <xdr:row>10</xdr:row>
      <xdr:rowOff>0</xdr:rowOff>
    </xdr:from>
    <xdr:to>
      <xdr:col>5</xdr:col>
      <xdr:colOff>295275</xdr:colOff>
      <xdr:row>21</xdr:row>
      <xdr:rowOff>76201</xdr:rowOff>
    </xdr:to>
    <xdr:graphicFrame macro="">
      <xdr:nvGraphicFramePr>
        <xdr:cNvPr id="6" name="Chart 5">
          <a:extLst>
            <a:ext uri="{FF2B5EF4-FFF2-40B4-BE49-F238E27FC236}">
              <a16:creationId xmlns:a16="http://schemas.microsoft.com/office/drawing/2014/main" id="{EDFDE89C-B763-4A81-8141-47ED2D9A40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352424</xdr:colOff>
      <xdr:row>12</xdr:row>
      <xdr:rowOff>19051</xdr:rowOff>
    </xdr:from>
    <xdr:to>
      <xdr:col>13</xdr:col>
      <xdr:colOff>323849</xdr:colOff>
      <xdr:row>28</xdr:row>
      <xdr:rowOff>47625</xdr:rowOff>
    </xdr:to>
    <xdr:graphicFrame macro="">
      <xdr:nvGraphicFramePr>
        <xdr:cNvPr id="7" name="Chart 6">
          <a:extLst>
            <a:ext uri="{FF2B5EF4-FFF2-40B4-BE49-F238E27FC236}">
              <a16:creationId xmlns:a16="http://schemas.microsoft.com/office/drawing/2014/main" id="{2BB15C36-3642-4D6F-9A4B-D8C6CD3A72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381000</xdr:colOff>
      <xdr:row>12</xdr:row>
      <xdr:rowOff>28575</xdr:rowOff>
    </xdr:from>
    <xdr:to>
      <xdr:col>18</xdr:col>
      <xdr:colOff>428625</xdr:colOff>
      <xdr:row>23</xdr:row>
      <xdr:rowOff>57151</xdr:rowOff>
    </xdr:to>
    <xdr:graphicFrame macro="">
      <xdr:nvGraphicFramePr>
        <xdr:cNvPr id="8" name="Chart 7">
          <a:extLst>
            <a:ext uri="{FF2B5EF4-FFF2-40B4-BE49-F238E27FC236}">
              <a16:creationId xmlns:a16="http://schemas.microsoft.com/office/drawing/2014/main" id="{15870A16-D8D2-4874-A152-5DD21DA9DC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18</xdr:col>
      <xdr:colOff>342900</xdr:colOff>
      <xdr:row>12</xdr:row>
      <xdr:rowOff>152400</xdr:rowOff>
    </xdr:from>
    <xdr:to>
      <xdr:col>20</xdr:col>
      <xdr:colOff>495300</xdr:colOff>
      <xdr:row>18</xdr:row>
      <xdr:rowOff>142875</xdr:rowOff>
    </xdr:to>
    <mc:AlternateContent xmlns:mc="http://schemas.openxmlformats.org/markup-compatibility/2006" xmlns:a14="http://schemas.microsoft.com/office/drawing/2010/main">
      <mc:Choice Requires="a14">
        <xdr:graphicFrame macro="">
          <xdr:nvGraphicFramePr>
            <xdr:cNvPr id="9" name="Age Group">
              <a:extLst>
                <a:ext uri="{FF2B5EF4-FFF2-40B4-BE49-F238E27FC236}">
                  <a16:creationId xmlns:a16="http://schemas.microsoft.com/office/drawing/2014/main" id="{1869E12A-7B02-43D7-85E6-A9151BF0084D}"/>
                </a:ext>
              </a:extLst>
            </xdr:cNvPr>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mlns="">
        <xdr:sp macro="" textlink="">
          <xdr:nvSpPr>
            <xdr:cNvPr id="0" name=""/>
            <xdr:cNvSpPr>
              <a:spLocks noTextEdit="1"/>
            </xdr:cNvSpPr>
          </xdr:nvSpPr>
          <xdr:spPr>
            <a:xfrm>
              <a:off x="11315700" y="2543175"/>
              <a:ext cx="1371600" cy="11334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295275</xdr:colOff>
      <xdr:row>8</xdr:row>
      <xdr:rowOff>19051</xdr:rowOff>
    </xdr:from>
    <xdr:to>
      <xdr:col>20</xdr:col>
      <xdr:colOff>390525</xdr:colOff>
      <xdr:row>12</xdr:row>
      <xdr:rowOff>76201</xdr:rowOff>
    </xdr:to>
    <mc:AlternateContent xmlns:mc="http://schemas.openxmlformats.org/markup-compatibility/2006" xmlns:a14="http://schemas.microsoft.com/office/drawing/2010/main">
      <mc:Choice Requires="a14">
        <xdr:graphicFrame macro="">
          <xdr:nvGraphicFramePr>
            <xdr:cNvPr id="10" name="Gender">
              <a:extLst>
                <a:ext uri="{FF2B5EF4-FFF2-40B4-BE49-F238E27FC236}">
                  <a16:creationId xmlns:a16="http://schemas.microsoft.com/office/drawing/2014/main" id="{EFDFD688-502A-4F16-8C05-450CD2560DA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1268075" y="1647826"/>
              <a:ext cx="1314450" cy="8191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266700</xdr:colOff>
      <xdr:row>3</xdr:row>
      <xdr:rowOff>1</xdr:rowOff>
    </xdr:from>
    <xdr:to>
      <xdr:col>20</xdr:col>
      <xdr:colOff>352425</xdr:colOff>
      <xdr:row>7</xdr:row>
      <xdr:rowOff>76201</xdr:rowOff>
    </xdr:to>
    <mc:AlternateContent xmlns:mc="http://schemas.openxmlformats.org/markup-compatibility/2006" xmlns:a14="http://schemas.microsoft.com/office/drawing/2010/main">
      <mc:Choice Requires="a14">
        <xdr:graphicFrame macro="">
          <xdr:nvGraphicFramePr>
            <xdr:cNvPr id="12" name="Level">
              <a:extLst>
                <a:ext uri="{FF2B5EF4-FFF2-40B4-BE49-F238E27FC236}">
                  <a16:creationId xmlns:a16="http://schemas.microsoft.com/office/drawing/2014/main" id="{00CC8B93-365A-4493-87C0-7EE71B453207}"/>
                </a:ext>
              </a:extLst>
            </xdr:cNvPr>
            <xdr:cNvGraphicFramePr/>
          </xdr:nvGraphicFramePr>
          <xdr:xfrm>
            <a:off x="0" y="0"/>
            <a:ext cx="0" cy="0"/>
          </xdr:xfrm>
          <a:graphic>
            <a:graphicData uri="http://schemas.microsoft.com/office/drawing/2010/slicer">
              <sle:slicer xmlns:sle="http://schemas.microsoft.com/office/drawing/2010/slicer" name="Level"/>
            </a:graphicData>
          </a:graphic>
        </xdr:graphicFrame>
      </mc:Choice>
      <mc:Fallback xmlns="">
        <xdr:sp macro="" textlink="">
          <xdr:nvSpPr>
            <xdr:cNvPr id="0" name=""/>
            <xdr:cNvSpPr>
              <a:spLocks noTextEdit="1"/>
            </xdr:cNvSpPr>
          </xdr:nvSpPr>
          <xdr:spPr>
            <a:xfrm>
              <a:off x="11239500" y="676276"/>
              <a:ext cx="1304925" cy="838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User/Downloads/Salary%20Data.csv"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068.456486921299" createdVersion="7" refreshedVersion="7" minRefreshableVersion="3" recordCount="373" xr:uid="{00000000-000A-0000-FFFF-FFFF22000000}">
  <cacheSource type="worksheet">
    <worksheetSource ref="A1:H374" sheet="Sheet8" r:id="rId2"/>
  </cacheSource>
  <cacheFields count="8">
    <cacheField name="Age" numFmtId="0">
      <sharedItems containsSemiMixedTypes="0" containsString="0" containsNumber="1" containsInteger="1" minValue="23" maxValue="53"/>
    </cacheField>
    <cacheField name="Age Group" numFmtId="0">
      <sharedItems count="3">
        <s v="Teenager"/>
        <s v="Adult"/>
        <s v="Senior"/>
      </sharedItems>
    </cacheField>
    <cacheField name="Gender" numFmtId="0">
      <sharedItems count="2">
        <s v="Female"/>
        <s v="Male"/>
      </sharedItems>
    </cacheField>
    <cacheField name="Education Level" numFmtId="0">
      <sharedItems count="3">
        <s v="Bachelor's"/>
        <s v="Master's"/>
        <s v="PhD"/>
      </sharedItems>
    </cacheField>
    <cacheField name="Job Title" numFmtId="0">
      <sharedItems count="174">
        <s v="Junior Marketing Analyst"/>
        <s v="Junior Developer"/>
        <s v="Data Entry Clerk"/>
        <s v="Help Desk Analyst"/>
        <s v="Sales Representative"/>
        <s v="Junior Marketing Specialist"/>
        <s v="Marketing Coordinator"/>
        <s v="Customer Success Rep"/>
        <s v="Junior Accountant"/>
        <s v="Junior Software Developer"/>
        <s v="Junior Customer Support Specialist"/>
        <s v="Junior Data Scientist"/>
        <s v="Customer Service Rep"/>
        <s v="Technical Writer"/>
        <s v="UX Researcher"/>
        <s v="Junior Account Manager"/>
        <s v="Junior Sales Representative"/>
        <s v="Junior Business Development Associate"/>
        <s v="Junior Product Manager"/>
        <s v="Junior UX Designer"/>
        <s v="Junior Research Scientist"/>
        <s v="Data Analyst"/>
        <s v="Social Media Specialist"/>
        <s v="Copywriter"/>
        <s v="Technical Support Specialist"/>
        <s v="Customer Success Manager"/>
        <s v="Junior Business Analyst"/>
        <s v="Junior Software Engineer"/>
        <s v="Junior Operations Analyst"/>
        <s v="Junior Financial Analyst"/>
        <s v="Junior Operations Manager"/>
        <s v="Marketing Analyst"/>
        <s v="Software Developer"/>
        <s v="Data Scientist"/>
        <s v="Graphic Designer"/>
        <s v="Junior Designer"/>
        <s v="Sales Associate"/>
        <s v="Junior HR Generalist"/>
        <s v="Junior Web Designer"/>
        <s v="Junior Recruiter"/>
        <s v="Junior Marketing Coordinator"/>
        <s v="Junior Business Operations Analyst"/>
        <s v="Junior Project Manager"/>
        <s v="IT Support"/>
        <s v="Network Engineer"/>
        <s v="Social Media Manager"/>
        <s v="Content Marketing Manager"/>
        <s v="Digital Content Producer"/>
        <s v="Junior Marketing Manager"/>
        <s v="Junior Copywriter"/>
        <s v="Junior Social Media Manager"/>
        <s v="Junior Advertising Coordinator"/>
        <s v="Junior Operations Coordinator"/>
        <s v="Junior HR Coordinator"/>
        <s v="Sales Manager"/>
        <s v="Accountant"/>
        <s v="Customer Service Representative"/>
        <s v="Event Coordinator"/>
        <s v="Senior Financial Analyst"/>
        <s v="Junior Social Media Specialist"/>
        <s v="Software Engineer"/>
        <s v="Account Manager"/>
        <s v="Senior Software Engineer"/>
        <s v="Senior Business Analyst"/>
        <s v="Junior Financial Advisor"/>
        <s v="Marketing Manager"/>
        <s v="Product Designer"/>
        <s v="Business Intelligence Analyst"/>
        <s v="Web Developer"/>
        <s v="Business Analyst"/>
        <s v="Junior Web Developer"/>
        <s v="Senior Operations Manager"/>
        <s v="Senior Product Development Manager"/>
        <s v="UX Designer"/>
        <s v="Business Development Manager"/>
        <s v="Financial Advisor"/>
        <s v="Senior Software Developer"/>
        <s v="Senior Quality Assurance Analyst"/>
        <s v="Senior Product Manager"/>
        <s v="Senior Financial Advisor"/>
        <s v="Senior Operations Coordinator"/>
        <s v="Financial Analyst"/>
        <s v="HR Generalist"/>
        <s v="Product Manager"/>
        <s v="Product Marketing Manager"/>
        <s v="Senior Marketing Coordinator"/>
        <s v="Senior Operations Analyst"/>
        <s v="Senior Marketing Analyst"/>
        <s v="Senior Project Coordinator"/>
        <s v="Senior Financial Manager"/>
        <s v="Senior Business Development Manager"/>
        <s v="Recruiter"/>
        <s v="Administrative Assistant"/>
        <s v="Technical Recruiter"/>
        <s v="Principal Scientist"/>
        <s v="IT Support Specialist"/>
        <s v="Junior Data Analyst"/>
        <s v="Senior Marketing Specialist"/>
        <s v="Senior Accountant"/>
        <s v="Senior Marketing Manager"/>
        <s v="Software Manager"/>
        <s v="Project Manager"/>
        <s v="Software Project Manager"/>
        <s v="Senior HR Generalist"/>
        <s v="Senior Software Architect"/>
        <s v="Senior Scientist"/>
        <s v="Digital Marketing Manager"/>
        <s v="Public Relations Manager"/>
        <s v="Customer Service Manager"/>
        <s v="Senior Human Resources Coordinator"/>
        <s v="Senior IT Consultant"/>
        <s v="Senior Project Manager"/>
        <s v="Senior Engineer"/>
        <s v="Marketing Specialist"/>
        <s v="Training Specialist"/>
        <s v="Senior Sales Representative"/>
        <s v="Senior Account Executive"/>
        <s v="HR Manager"/>
        <s v="Office Manager"/>
        <s v="Senior Training Specialist"/>
        <s v="Senior Account Manager"/>
        <s v="Senior Human Resources Specialist"/>
        <s v="Financial Manager"/>
        <s v="Strategy Consultant"/>
        <s v="Senior Human Resources Manager"/>
        <s v="Senior Marketing Director"/>
        <s v="Project Engineer"/>
        <s v="Creative Director"/>
        <s v="Senior Graphic Designer"/>
        <s v="Senior Data Scientist"/>
        <s v="Senior Consultant"/>
        <s v="Supply Chain Manager"/>
        <s v="Senior Product Marketing Manager"/>
        <s v="Senior Product Designer"/>
        <s v="Senior IT Project Manager"/>
        <s v="Director of Marketing"/>
        <s v="Director of Operations"/>
        <s v="Operations Manager"/>
        <s v="Chief Data Officer"/>
        <s v="Senior IT Support Specialist"/>
        <s v="Senior UX Designer"/>
        <s v="Senior Sales Manager"/>
        <s v="Senior HR Manager"/>
        <s v="Senior HR Specialist"/>
        <s v="Senior Data Engineer"/>
        <s v="Senior Manager"/>
        <s v="Research Director"/>
        <s v="Operations Analyst"/>
        <s v="Sales Operations Manager"/>
        <s v="Director of Sales"/>
        <s v="Senior Data Analyst"/>
        <s v="Director of Engineering"/>
        <s v="IT Manager"/>
        <s v="Senior Researcher"/>
        <s v="VP of Operations"/>
        <s v="VP of Finance"/>
        <s v="Research Scientist"/>
        <s v="Senior Research Scientist"/>
        <s v="Director of Business Development"/>
        <s v="Director of Finance"/>
        <s v="Operations Director"/>
        <s v="Human Resources Director"/>
        <s v="Principal Engineer"/>
        <s v="Director of Product Management"/>
        <s v="Director of HR"/>
        <s v="Sales Executive"/>
        <s v="Director of Human Capital"/>
        <s v="CEO"/>
        <s v="Supply Chain Analyst"/>
        <s v="Director of Sales and Marketing"/>
        <s v="Sales Director"/>
        <s v="Director of Human Resources"/>
        <s v="Director"/>
        <s v="Chief Technology Officer"/>
      </sharedItems>
    </cacheField>
    <cacheField name="Years of Experience" numFmtId="0">
      <sharedItems containsSemiMixedTypes="0" containsString="0" containsNumber="1" minValue="0" maxValue="25" count="28">
        <n v="0.5"/>
        <n v="1"/>
        <n v="0"/>
        <n v="1.5"/>
        <n v="2"/>
        <n v="3"/>
        <n v="4"/>
        <n v="5"/>
        <n v="6"/>
        <n v="7"/>
        <n v="8"/>
        <n v="10"/>
        <n v="9"/>
        <n v="11"/>
        <n v="12"/>
        <n v="13"/>
        <n v="14"/>
        <n v="15"/>
        <n v="17"/>
        <n v="16"/>
        <n v="18"/>
        <n v="19"/>
        <n v="20"/>
        <n v="21"/>
        <n v="22"/>
        <n v="25"/>
        <n v="23"/>
        <n v="24"/>
      </sharedItems>
    </cacheField>
    <cacheField name="Level" numFmtId="0">
      <sharedItems count="2">
        <s v="Fresher"/>
        <s v="Experienced"/>
      </sharedItems>
    </cacheField>
    <cacheField name="Salary" numFmtId="0">
      <sharedItems/>
    </cacheField>
  </cacheFields>
  <extLst>
    <ext xmlns:x14="http://schemas.microsoft.com/office/spreadsheetml/2009/9/main" uri="{725AE2AE-9491-48be-B2B4-4EB974FC3084}">
      <x14:pivotCacheDefinition pivotCacheId="750469128"/>
    </ext>
  </extLst>
</pivotCacheDefinition>
</file>

<file path=xl/pivotCache/pivotCacheRecords1.xml><?xml version="1.0" encoding="utf-8"?>
<pivotCacheRecords xmlns="http://schemas.openxmlformats.org/spreadsheetml/2006/main" xmlns:r="http://schemas.openxmlformats.org/officeDocument/2006/relationships" count="373">
  <r>
    <n v="23"/>
    <x v="0"/>
    <x v="0"/>
    <x v="0"/>
    <x v="0"/>
    <x v="0"/>
    <x v="0"/>
    <s v="20000"/>
  </r>
  <r>
    <n v="24"/>
    <x v="0"/>
    <x v="1"/>
    <x v="0"/>
    <x v="1"/>
    <x v="1"/>
    <x v="0"/>
    <s v="20000"/>
  </r>
  <r>
    <n v="25"/>
    <x v="1"/>
    <x v="0"/>
    <x v="0"/>
    <x v="2"/>
    <x v="2"/>
    <x v="0"/>
    <s v="20000"/>
  </r>
  <r>
    <n v="25"/>
    <x v="1"/>
    <x v="1"/>
    <x v="0"/>
    <x v="3"/>
    <x v="2"/>
    <x v="0"/>
    <s v="20000"/>
  </r>
  <r>
    <n v="25"/>
    <x v="1"/>
    <x v="1"/>
    <x v="0"/>
    <x v="4"/>
    <x v="2"/>
    <x v="0"/>
    <s v="20000"/>
  </r>
  <r>
    <n v="25"/>
    <x v="1"/>
    <x v="0"/>
    <x v="1"/>
    <x v="5"/>
    <x v="3"/>
    <x v="0"/>
    <s v="30000"/>
  </r>
  <r>
    <n v="26"/>
    <x v="1"/>
    <x v="0"/>
    <x v="0"/>
    <x v="6"/>
    <x v="1"/>
    <x v="0"/>
    <s v="20000"/>
  </r>
  <r>
    <n v="26"/>
    <x v="1"/>
    <x v="0"/>
    <x v="0"/>
    <x v="7"/>
    <x v="1"/>
    <x v="0"/>
    <s v="20000"/>
  </r>
  <r>
    <n v="26"/>
    <x v="1"/>
    <x v="1"/>
    <x v="0"/>
    <x v="8"/>
    <x v="1"/>
    <x v="0"/>
    <s v="20000"/>
  </r>
  <r>
    <n v="26"/>
    <x v="1"/>
    <x v="1"/>
    <x v="0"/>
    <x v="9"/>
    <x v="1"/>
    <x v="0"/>
    <s v="20000"/>
  </r>
  <r>
    <n v="26"/>
    <x v="1"/>
    <x v="1"/>
    <x v="0"/>
    <x v="8"/>
    <x v="4"/>
    <x v="0"/>
    <s v="30000"/>
  </r>
  <r>
    <n v="26"/>
    <x v="1"/>
    <x v="1"/>
    <x v="0"/>
    <x v="10"/>
    <x v="4"/>
    <x v="0"/>
    <s v="30000"/>
  </r>
  <r>
    <n v="26"/>
    <x v="1"/>
    <x v="0"/>
    <x v="1"/>
    <x v="11"/>
    <x v="3"/>
    <x v="0"/>
    <s v="30000"/>
  </r>
  <r>
    <n v="27"/>
    <x v="1"/>
    <x v="1"/>
    <x v="0"/>
    <x v="12"/>
    <x v="4"/>
    <x v="0"/>
    <s v="30000"/>
  </r>
  <r>
    <n v="27"/>
    <x v="1"/>
    <x v="1"/>
    <x v="0"/>
    <x v="13"/>
    <x v="4"/>
    <x v="0"/>
    <s v="30000"/>
  </r>
  <r>
    <n v="27"/>
    <x v="1"/>
    <x v="0"/>
    <x v="1"/>
    <x v="14"/>
    <x v="4"/>
    <x v="0"/>
    <s v="30000"/>
  </r>
  <r>
    <n v="27"/>
    <x v="1"/>
    <x v="1"/>
    <x v="0"/>
    <x v="15"/>
    <x v="4"/>
    <x v="0"/>
    <s v="30000"/>
  </r>
  <r>
    <n v="27"/>
    <x v="1"/>
    <x v="1"/>
    <x v="0"/>
    <x v="16"/>
    <x v="1"/>
    <x v="0"/>
    <s v="20000"/>
  </r>
  <r>
    <n v="27"/>
    <x v="1"/>
    <x v="1"/>
    <x v="0"/>
    <x v="17"/>
    <x v="3"/>
    <x v="0"/>
    <s v="30000"/>
  </r>
  <r>
    <n v="27"/>
    <x v="1"/>
    <x v="1"/>
    <x v="0"/>
    <x v="18"/>
    <x v="4"/>
    <x v="0"/>
    <s v="30000"/>
  </r>
  <r>
    <n v="27"/>
    <x v="1"/>
    <x v="0"/>
    <x v="1"/>
    <x v="19"/>
    <x v="3"/>
    <x v="0"/>
    <s v="30000"/>
  </r>
  <r>
    <n v="27"/>
    <x v="1"/>
    <x v="0"/>
    <x v="1"/>
    <x v="20"/>
    <x v="3"/>
    <x v="0"/>
    <s v="30000"/>
  </r>
  <r>
    <n v="28"/>
    <x v="1"/>
    <x v="0"/>
    <x v="1"/>
    <x v="21"/>
    <x v="5"/>
    <x v="0"/>
    <s v="30000"/>
  </r>
  <r>
    <n v="28"/>
    <x v="1"/>
    <x v="0"/>
    <x v="0"/>
    <x v="22"/>
    <x v="5"/>
    <x v="0"/>
    <s v="30000"/>
  </r>
  <r>
    <n v="28"/>
    <x v="1"/>
    <x v="0"/>
    <x v="0"/>
    <x v="23"/>
    <x v="4"/>
    <x v="0"/>
    <s v="30000"/>
  </r>
  <r>
    <n v="28"/>
    <x v="1"/>
    <x v="1"/>
    <x v="0"/>
    <x v="24"/>
    <x v="4"/>
    <x v="0"/>
    <s v="30000"/>
  </r>
  <r>
    <n v="28"/>
    <x v="1"/>
    <x v="1"/>
    <x v="0"/>
    <x v="25"/>
    <x v="4"/>
    <x v="0"/>
    <s v="30000"/>
  </r>
  <r>
    <n v="28"/>
    <x v="1"/>
    <x v="1"/>
    <x v="0"/>
    <x v="26"/>
    <x v="4"/>
    <x v="0"/>
    <s v="30000"/>
  </r>
  <r>
    <n v="28"/>
    <x v="1"/>
    <x v="1"/>
    <x v="0"/>
    <x v="27"/>
    <x v="4"/>
    <x v="0"/>
    <s v="30000"/>
  </r>
  <r>
    <n v="28"/>
    <x v="1"/>
    <x v="1"/>
    <x v="0"/>
    <x v="28"/>
    <x v="3"/>
    <x v="0"/>
    <s v="30000"/>
  </r>
  <r>
    <n v="28"/>
    <x v="1"/>
    <x v="1"/>
    <x v="0"/>
    <x v="26"/>
    <x v="4"/>
    <x v="0"/>
    <s v="30000"/>
  </r>
  <r>
    <n v="28"/>
    <x v="1"/>
    <x v="1"/>
    <x v="0"/>
    <x v="17"/>
    <x v="4"/>
    <x v="0"/>
    <s v="30000"/>
  </r>
  <r>
    <n v="28"/>
    <x v="1"/>
    <x v="1"/>
    <x v="0"/>
    <x v="29"/>
    <x v="4"/>
    <x v="0"/>
    <s v="30000"/>
  </r>
  <r>
    <n v="28"/>
    <x v="1"/>
    <x v="1"/>
    <x v="0"/>
    <x v="17"/>
    <x v="4"/>
    <x v="0"/>
    <s v="30000"/>
  </r>
  <r>
    <n v="28"/>
    <x v="1"/>
    <x v="0"/>
    <x v="0"/>
    <x v="30"/>
    <x v="1"/>
    <x v="0"/>
    <s v="20000"/>
  </r>
  <r>
    <n v="29"/>
    <x v="1"/>
    <x v="1"/>
    <x v="0"/>
    <x v="31"/>
    <x v="4"/>
    <x v="0"/>
    <s v="30000"/>
  </r>
  <r>
    <n v="29"/>
    <x v="1"/>
    <x v="1"/>
    <x v="1"/>
    <x v="32"/>
    <x v="5"/>
    <x v="0"/>
    <s v="30000"/>
  </r>
  <r>
    <n v="29"/>
    <x v="1"/>
    <x v="1"/>
    <x v="1"/>
    <x v="33"/>
    <x v="5"/>
    <x v="0"/>
    <s v="30000"/>
  </r>
  <r>
    <n v="29"/>
    <x v="1"/>
    <x v="0"/>
    <x v="0"/>
    <x v="34"/>
    <x v="5"/>
    <x v="0"/>
    <s v="30000"/>
  </r>
  <r>
    <n v="29"/>
    <x v="1"/>
    <x v="1"/>
    <x v="0"/>
    <x v="31"/>
    <x v="5"/>
    <x v="0"/>
    <s v="30000"/>
  </r>
  <r>
    <n v="29"/>
    <x v="1"/>
    <x v="0"/>
    <x v="0"/>
    <x v="35"/>
    <x v="4"/>
    <x v="0"/>
    <s v="30000"/>
  </r>
  <r>
    <n v="29"/>
    <x v="1"/>
    <x v="0"/>
    <x v="0"/>
    <x v="36"/>
    <x v="5"/>
    <x v="0"/>
    <s v="30000"/>
  </r>
  <r>
    <n v="29"/>
    <x v="1"/>
    <x v="0"/>
    <x v="0"/>
    <x v="37"/>
    <x v="5"/>
    <x v="0"/>
    <s v="30000"/>
  </r>
  <r>
    <n v="29"/>
    <x v="1"/>
    <x v="1"/>
    <x v="0"/>
    <x v="38"/>
    <x v="5"/>
    <x v="0"/>
    <s v="30000"/>
  </r>
  <r>
    <n v="29"/>
    <x v="1"/>
    <x v="0"/>
    <x v="0"/>
    <x v="39"/>
    <x v="5"/>
    <x v="0"/>
    <s v="30000"/>
  </r>
  <r>
    <n v="29"/>
    <x v="1"/>
    <x v="1"/>
    <x v="0"/>
    <x v="40"/>
    <x v="4"/>
    <x v="0"/>
    <s v="30000"/>
  </r>
  <r>
    <n v="29"/>
    <x v="1"/>
    <x v="0"/>
    <x v="0"/>
    <x v="16"/>
    <x v="4"/>
    <x v="0"/>
    <s v="30000"/>
  </r>
  <r>
    <n v="29"/>
    <x v="1"/>
    <x v="1"/>
    <x v="0"/>
    <x v="41"/>
    <x v="3"/>
    <x v="0"/>
    <s v="30000"/>
  </r>
  <r>
    <n v="29"/>
    <x v="1"/>
    <x v="1"/>
    <x v="0"/>
    <x v="26"/>
    <x v="3"/>
    <x v="0"/>
    <s v="30000"/>
  </r>
  <r>
    <n v="29"/>
    <x v="1"/>
    <x v="1"/>
    <x v="0"/>
    <x v="41"/>
    <x v="3"/>
    <x v="0"/>
    <s v="30000"/>
  </r>
  <r>
    <n v="29"/>
    <x v="1"/>
    <x v="0"/>
    <x v="0"/>
    <x v="16"/>
    <x v="3"/>
    <x v="0"/>
    <s v="30000"/>
  </r>
  <r>
    <n v="29"/>
    <x v="1"/>
    <x v="0"/>
    <x v="0"/>
    <x v="17"/>
    <x v="3"/>
    <x v="0"/>
    <s v="30000"/>
  </r>
  <r>
    <n v="29"/>
    <x v="1"/>
    <x v="0"/>
    <x v="0"/>
    <x v="5"/>
    <x v="4"/>
    <x v="0"/>
    <s v="30000"/>
  </r>
  <r>
    <n v="29"/>
    <x v="1"/>
    <x v="0"/>
    <x v="0"/>
    <x v="17"/>
    <x v="3"/>
    <x v="0"/>
    <s v="30000"/>
  </r>
  <r>
    <n v="29"/>
    <x v="1"/>
    <x v="0"/>
    <x v="0"/>
    <x v="0"/>
    <x v="4"/>
    <x v="0"/>
    <s v="30000"/>
  </r>
  <r>
    <n v="29"/>
    <x v="1"/>
    <x v="0"/>
    <x v="0"/>
    <x v="42"/>
    <x v="4"/>
    <x v="0"/>
    <s v="30000"/>
  </r>
  <r>
    <n v="29"/>
    <x v="1"/>
    <x v="0"/>
    <x v="0"/>
    <x v="42"/>
    <x v="4"/>
    <x v="0"/>
    <s v="30000"/>
  </r>
  <r>
    <n v="29"/>
    <x v="1"/>
    <x v="0"/>
    <x v="0"/>
    <x v="42"/>
    <x v="4"/>
    <x v="0"/>
    <s v="30000"/>
  </r>
  <r>
    <n v="30"/>
    <x v="1"/>
    <x v="1"/>
    <x v="0"/>
    <x v="43"/>
    <x v="4"/>
    <x v="0"/>
    <s v="30000"/>
  </r>
  <r>
    <n v="30"/>
    <x v="1"/>
    <x v="1"/>
    <x v="0"/>
    <x v="44"/>
    <x v="5"/>
    <x v="0"/>
    <s v="30000"/>
  </r>
  <r>
    <n v="30"/>
    <x v="1"/>
    <x v="0"/>
    <x v="0"/>
    <x v="45"/>
    <x v="6"/>
    <x v="1"/>
    <s v="60000"/>
  </r>
  <r>
    <n v="30"/>
    <x v="1"/>
    <x v="0"/>
    <x v="0"/>
    <x v="46"/>
    <x v="5"/>
    <x v="0"/>
    <s v="30000"/>
  </r>
  <r>
    <n v="30"/>
    <x v="1"/>
    <x v="0"/>
    <x v="0"/>
    <x v="47"/>
    <x v="5"/>
    <x v="0"/>
    <s v="30000"/>
  </r>
  <r>
    <n v="30"/>
    <x v="1"/>
    <x v="0"/>
    <x v="0"/>
    <x v="48"/>
    <x v="6"/>
    <x v="1"/>
    <s v="60000"/>
  </r>
  <r>
    <n v="30"/>
    <x v="1"/>
    <x v="0"/>
    <x v="0"/>
    <x v="49"/>
    <x v="5"/>
    <x v="0"/>
    <s v="30000"/>
  </r>
  <r>
    <n v="30"/>
    <x v="1"/>
    <x v="0"/>
    <x v="0"/>
    <x v="50"/>
    <x v="5"/>
    <x v="0"/>
    <s v="30000"/>
  </r>
  <r>
    <n v="30"/>
    <x v="1"/>
    <x v="1"/>
    <x v="0"/>
    <x v="51"/>
    <x v="5"/>
    <x v="0"/>
    <s v="30000"/>
  </r>
  <r>
    <n v="30"/>
    <x v="1"/>
    <x v="0"/>
    <x v="0"/>
    <x v="40"/>
    <x v="4"/>
    <x v="0"/>
    <s v="30000"/>
  </r>
  <r>
    <n v="30"/>
    <x v="1"/>
    <x v="1"/>
    <x v="0"/>
    <x v="5"/>
    <x v="5"/>
    <x v="0"/>
    <s v="30000"/>
  </r>
  <r>
    <n v="30"/>
    <x v="1"/>
    <x v="0"/>
    <x v="0"/>
    <x v="40"/>
    <x v="4"/>
    <x v="0"/>
    <s v="30000"/>
  </r>
  <r>
    <n v="30"/>
    <x v="1"/>
    <x v="1"/>
    <x v="0"/>
    <x v="26"/>
    <x v="4"/>
    <x v="0"/>
    <s v="30000"/>
  </r>
  <r>
    <n v="30"/>
    <x v="1"/>
    <x v="0"/>
    <x v="0"/>
    <x v="52"/>
    <x v="4"/>
    <x v="0"/>
    <s v="30000"/>
  </r>
  <r>
    <n v="30"/>
    <x v="1"/>
    <x v="0"/>
    <x v="0"/>
    <x v="53"/>
    <x v="4"/>
    <x v="0"/>
    <s v="30000"/>
  </r>
  <r>
    <n v="31"/>
    <x v="1"/>
    <x v="1"/>
    <x v="0"/>
    <x v="54"/>
    <x v="6"/>
    <x v="1"/>
    <s v="60000"/>
  </r>
  <r>
    <n v="31"/>
    <x v="1"/>
    <x v="0"/>
    <x v="0"/>
    <x v="55"/>
    <x v="6"/>
    <x v="1"/>
    <s v="60000"/>
  </r>
  <r>
    <n v="31"/>
    <x v="1"/>
    <x v="0"/>
    <x v="0"/>
    <x v="56"/>
    <x v="7"/>
    <x v="1"/>
    <s v="60000"/>
  </r>
  <r>
    <n v="31"/>
    <x v="1"/>
    <x v="0"/>
    <x v="0"/>
    <x v="6"/>
    <x v="8"/>
    <x v="1"/>
    <s v="60000"/>
  </r>
  <r>
    <n v="31"/>
    <x v="1"/>
    <x v="0"/>
    <x v="0"/>
    <x v="57"/>
    <x v="7"/>
    <x v="1"/>
    <s v="60000"/>
  </r>
  <r>
    <n v="31"/>
    <x v="1"/>
    <x v="1"/>
    <x v="1"/>
    <x v="58"/>
    <x v="8"/>
    <x v="1"/>
    <s v="60000"/>
  </r>
  <r>
    <n v="31"/>
    <x v="1"/>
    <x v="1"/>
    <x v="0"/>
    <x v="42"/>
    <x v="6"/>
    <x v="1"/>
    <s v="60000"/>
  </r>
  <r>
    <n v="31"/>
    <x v="1"/>
    <x v="0"/>
    <x v="0"/>
    <x v="53"/>
    <x v="6"/>
    <x v="1"/>
    <s v="60000"/>
  </r>
  <r>
    <n v="31"/>
    <x v="1"/>
    <x v="1"/>
    <x v="0"/>
    <x v="8"/>
    <x v="6"/>
    <x v="1"/>
    <s v="60000"/>
  </r>
  <r>
    <n v="31"/>
    <x v="1"/>
    <x v="1"/>
    <x v="0"/>
    <x v="37"/>
    <x v="6"/>
    <x v="1"/>
    <s v="60000"/>
  </r>
  <r>
    <n v="31"/>
    <x v="1"/>
    <x v="0"/>
    <x v="0"/>
    <x v="59"/>
    <x v="5"/>
    <x v="0"/>
    <s v="30000"/>
  </r>
  <r>
    <n v="31"/>
    <x v="1"/>
    <x v="1"/>
    <x v="0"/>
    <x v="29"/>
    <x v="5"/>
    <x v="0"/>
    <s v="30000"/>
  </r>
  <r>
    <n v="31"/>
    <x v="1"/>
    <x v="0"/>
    <x v="0"/>
    <x v="40"/>
    <x v="5"/>
    <x v="0"/>
    <s v="30000"/>
  </r>
  <r>
    <n v="31"/>
    <x v="1"/>
    <x v="1"/>
    <x v="0"/>
    <x v="28"/>
    <x v="5"/>
    <x v="0"/>
    <s v="30000"/>
  </r>
  <r>
    <n v="31"/>
    <x v="1"/>
    <x v="1"/>
    <x v="0"/>
    <x v="42"/>
    <x v="5"/>
    <x v="0"/>
    <s v="30000"/>
  </r>
  <r>
    <n v="31"/>
    <x v="1"/>
    <x v="1"/>
    <x v="0"/>
    <x v="28"/>
    <x v="5"/>
    <x v="0"/>
    <s v="30000"/>
  </r>
  <r>
    <n v="31"/>
    <x v="1"/>
    <x v="0"/>
    <x v="0"/>
    <x v="17"/>
    <x v="5"/>
    <x v="0"/>
    <s v="30000"/>
  </r>
  <r>
    <n v="31"/>
    <x v="1"/>
    <x v="0"/>
    <x v="0"/>
    <x v="29"/>
    <x v="5"/>
    <x v="0"/>
    <s v="30000"/>
  </r>
  <r>
    <n v="31"/>
    <x v="1"/>
    <x v="1"/>
    <x v="0"/>
    <x v="40"/>
    <x v="5"/>
    <x v="0"/>
    <s v="30000"/>
  </r>
  <r>
    <n v="31"/>
    <x v="1"/>
    <x v="0"/>
    <x v="0"/>
    <x v="17"/>
    <x v="5"/>
    <x v="0"/>
    <s v="30000"/>
  </r>
  <r>
    <n v="31"/>
    <x v="1"/>
    <x v="0"/>
    <x v="0"/>
    <x v="29"/>
    <x v="5"/>
    <x v="0"/>
    <s v="30000"/>
  </r>
  <r>
    <n v="32"/>
    <x v="1"/>
    <x v="1"/>
    <x v="0"/>
    <x v="60"/>
    <x v="7"/>
    <x v="1"/>
    <s v="60000"/>
  </r>
  <r>
    <n v="32"/>
    <x v="1"/>
    <x v="1"/>
    <x v="0"/>
    <x v="61"/>
    <x v="7"/>
    <x v="1"/>
    <s v="60000"/>
  </r>
  <r>
    <n v="32"/>
    <x v="1"/>
    <x v="1"/>
    <x v="1"/>
    <x v="62"/>
    <x v="8"/>
    <x v="1"/>
    <s v="60000"/>
  </r>
  <r>
    <n v="32"/>
    <x v="1"/>
    <x v="1"/>
    <x v="1"/>
    <x v="63"/>
    <x v="8"/>
    <x v="1"/>
    <s v="60000"/>
  </r>
  <r>
    <n v="32"/>
    <x v="1"/>
    <x v="0"/>
    <x v="0"/>
    <x v="6"/>
    <x v="6"/>
    <x v="1"/>
    <s v="60000"/>
  </r>
  <r>
    <n v="32"/>
    <x v="1"/>
    <x v="0"/>
    <x v="0"/>
    <x v="29"/>
    <x v="7"/>
    <x v="1"/>
    <s v="60000"/>
  </r>
  <r>
    <n v="32"/>
    <x v="1"/>
    <x v="0"/>
    <x v="0"/>
    <x v="15"/>
    <x v="7"/>
    <x v="1"/>
    <s v="60000"/>
  </r>
  <r>
    <n v="32"/>
    <x v="1"/>
    <x v="1"/>
    <x v="0"/>
    <x v="16"/>
    <x v="5"/>
    <x v="0"/>
    <s v="30000"/>
  </r>
  <r>
    <n v="32"/>
    <x v="1"/>
    <x v="0"/>
    <x v="0"/>
    <x v="48"/>
    <x v="6"/>
    <x v="1"/>
    <s v="60000"/>
  </r>
  <r>
    <n v="32"/>
    <x v="1"/>
    <x v="1"/>
    <x v="0"/>
    <x v="18"/>
    <x v="6"/>
    <x v="1"/>
    <s v="60000"/>
  </r>
  <r>
    <n v="32"/>
    <x v="1"/>
    <x v="1"/>
    <x v="0"/>
    <x v="64"/>
    <x v="6"/>
    <x v="1"/>
    <s v="60000"/>
  </r>
  <r>
    <n v="32"/>
    <x v="1"/>
    <x v="1"/>
    <x v="0"/>
    <x v="40"/>
    <x v="5"/>
    <x v="0"/>
    <s v="30000"/>
  </r>
  <r>
    <n v="33"/>
    <x v="1"/>
    <x v="0"/>
    <x v="1"/>
    <x v="65"/>
    <x v="9"/>
    <x v="1"/>
    <s v="60000"/>
  </r>
  <r>
    <n v="33"/>
    <x v="1"/>
    <x v="1"/>
    <x v="1"/>
    <x v="66"/>
    <x v="8"/>
    <x v="1"/>
    <s v="60000"/>
  </r>
  <r>
    <n v="33"/>
    <x v="1"/>
    <x v="1"/>
    <x v="1"/>
    <x v="67"/>
    <x v="9"/>
    <x v="1"/>
    <s v="60000"/>
  </r>
  <r>
    <n v="33"/>
    <x v="1"/>
    <x v="1"/>
    <x v="0"/>
    <x v="68"/>
    <x v="8"/>
    <x v="1"/>
    <s v="60000"/>
  </r>
  <r>
    <n v="33"/>
    <x v="1"/>
    <x v="1"/>
    <x v="0"/>
    <x v="69"/>
    <x v="9"/>
    <x v="1"/>
    <s v="60000"/>
  </r>
  <r>
    <n v="33"/>
    <x v="1"/>
    <x v="1"/>
    <x v="0"/>
    <x v="70"/>
    <x v="7"/>
    <x v="1"/>
    <s v="60000"/>
  </r>
  <r>
    <n v="33"/>
    <x v="1"/>
    <x v="0"/>
    <x v="0"/>
    <x v="28"/>
    <x v="7"/>
    <x v="1"/>
    <s v="60000"/>
  </r>
  <r>
    <n v="33"/>
    <x v="1"/>
    <x v="1"/>
    <x v="0"/>
    <x v="9"/>
    <x v="7"/>
    <x v="1"/>
    <s v="60000"/>
  </r>
  <r>
    <n v="33"/>
    <x v="1"/>
    <x v="1"/>
    <x v="1"/>
    <x v="71"/>
    <x v="9"/>
    <x v="1"/>
    <s v="60000"/>
  </r>
  <r>
    <n v="33"/>
    <x v="1"/>
    <x v="0"/>
    <x v="1"/>
    <x v="58"/>
    <x v="8"/>
    <x v="1"/>
    <s v="60000"/>
  </r>
  <r>
    <n v="33"/>
    <x v="1"/>
    <x v="1"/>
    <x v="0"/>
    <x v="72"/>
    <x v="9"/>
    <x v="1"/>
    <s v="60000"/>
  </r>
  <r>
    <n v="33"/>
    <x v="1"/>
    <x v="0"/>
    <x v="0"/>
    <x v="30"/>
    <x v="7"/>
    <x v="1"/>
    <s v="60000"/>
  </r>
  <r>
    <n v="33"/>
    <x v="1"/>
    <x v="0"/>
    <x v="0"/>
    <x v="28"/>
    <x v="7"/>
    <x v="1"/>
    <s v="60000"/>
  </r>
  <r>
    <n v="33"/>
    <x v="1"/>
    <x v="1"/>
    <x v="0"/>
    <x v="30"/>
    <x v="6"/>
    <x v="1"/>
    <s v="60000"/>
  </r>
  <r>
    <n v="33"/>
    <x v="1"/>
    <x v="1"/>
    <x v="0"/>
    <x v="26"/>
    <x v="6"/>
    <x v="1"/>
    <s v="60000"/>
  </r>
  <r>
    <n v="33"/>
    <x v="1"/>
    <x v="1"/>
    <x v="0"/>
    <x v="29"/>
    <x v="6"/>
    <x v="1"/>
    <s v="60000"/>
  </r>
  <r>
    <n v="33"/>
    <x v="1"/>
    <x v="0"/>
    <x v="0"/>
    <x v="48"/>
    <x v="7"/>
    <x v="1"/>
    <s v="60000"/>
  </r>
  <r>
    <n v="33"/>
    <x v="1"/>
    <x v="1"/>
    <x v="0"/>
    <x v="26"/>
    <x v="6"/>
    <x v="1"/>
    <s v="60000"/>
  </r>
  <r>
    <n v="33"/>
    <x v="1"/>
    <x v="1"/>
    <x v="0"/>
    <x v="18"/>
    <x v="6"/>
    <x v="1"/>
    <s v="60000"/>
  </r>
  <r>
    <n v="33"/>
    <x v="1"/>
    <x v="1"/>
    <x v="0"/>
    <x v="5"/>
    <x v="7"/>
    <x v="1"/>
    <s v="60000"/>
  </r>
  <r>
    <n v="33"/>
    <x v="1"/>
    <x v="1"/>
    <x v="0"/>
    <x v="26"/>
    <x v="6"/>
    <x v="1"/>
    <s v="60000"/>
  </r>
  <r>
    <n v="33"/>
    <x v="1"/>
    <x v="1"/>
    <x v="0"/>
    <x v="18"/>
    <x v="6"/>
    <x v="1"/>
    <s v="60000"/>
  </r>
  <r>
    <n v="33"/>
    <x v="1"/>
    <x v="1"/>
    <x v="0"/>
    <x v="5"/>
    <x v="7"/>
    <x v="1"/>
    <s v="60000"/>
  </r>
  <r>
    <n v="33"/>
    <x v="1"/>
    <x v="1"/>
    <x v="0"/>
    <x v="26"/>
    <x v="6"/>
    <x v="1"/>
    <s v="60000"/>
  </r>
  <r>
    <n v="34"/>
    <x v="1"/>
    <x v="0"/>
    <x v="1"/>
    <x v="69"/>
    <x v="7"/>
    <x v="1"/>
    <s v="60000"/>
  </r>
  <r>
    <n v="34"/>
    <x v="1"/>
    <x v="0"/>
    <x v="1"/>
    <x v="73"/>
    <x v="7"/>
    <x v="1"/>
    <s v="60000"/>
  </r>
  <r>
    <n v="34"/>
    <x v="1"/>
    <x v="1"/>
    <x v="1"/>
    <x v="74"/>
    <x v="10"/>
    <x v="1"/>
    <s v="60000"/>
  </r>
  <r>
    <n v="34"/>
    <x v="1"/>
    <x v="0"/>
    <x v="1"/>
    <x v="75"/>
    <x v="11"/>
    <x v="1"/>
    <s v="60000"/>
  </r>
  <r>
    <n v="34"/>
    <x v="1"/>
    <x v="1"/>
    <x v="1"/>
    <x v="76"/>
    <x v="10"/>
    <x v="1"/>
    <s v="60000"/>
  </r>
  <r>
    <n v="34"/>
    <x v="1"/>
    <x v="1"/>
    <x v="0"/>
    <x v="63"/>
    <x v="10"/>
    <x v="1"/>
    <s v="60000"/>
  </r>
  <r>
    <n v="34"/>
    <x v="1"/>
    <x v="1"/>
    <x v="1"/>
    <x v="62"/>
    <x v="12"/>
    <x v="1"/>
    <s v="60000"/>
  </r>
  <r>
    <n v="34"/>
    <x v="1"/>
    <x v="1"/>
    <x v="0"/>
    <x v="77"/>
    <x v="12"/>
    <x v="1"/>
    <s v="60000"/>
  </r>
  <r>
    <n v="34"/>
    <x v="1"/>
    <x v="1"/>
    <x v="0"/>
    <x v="78"/>
    <x v="9"/>
    <x v="1"/>
    <s v="60000"/>
  </r>
  <r>
    <n v="34"/>
    <x v="1"/>
    <x v="0"/>
    <x v="1"/>
    <x v="79"/>
    <x v="8"/>
    <x v="1"/>
    <s v="60000"/>
  </r>
  <r>
    <n v="34"/>
    <x v="1"/>
    <x v="0"/>
    <x v="0"/>
    <x v="0"/>
    <x v="8"/>
    <x v="1"/>
    <s v="60000"/>
  </r>
  <r>
    <n v="34"/>
    <x v="1"/>
    <x v="0"/>
    <x v="1"/>
    <x v="79"/>
    <x v="8"/>
    <x v="1"/>
    <s v="60000"/>
  </r>
  <r>
    <n v="34"/>
    <x v="1"/>
    <x v="0"/>
    <x v="0"/>
    <x v="29"/>
    <x v="7"/>
    <x v="1"/>
    <s v="60000"/>
  </r>
  <r>
    <n v="34"/>
    <x v="1"/>
    <x v="0"/>
    <x v="1"/>
    <x v="79"/>
    <x v="8"/>
    <x v="1"/>
    <s v="60000"/>
  </r>
  <r>
    <n v="34"/>
    <x v="1"/>
    <x v="1"/>
    <x v="0"/>
    <x v="80"/>
    <x v="9"/>
    <x v="1"/>
    <s v="60000"/>
  </r>
  <r>
    <n v="34"/>
    <x v="1"/>
    <x v="1"/>
    <x v="0"/>
    <x v="80"/>
    <x v="9"/>
    <x v="1"/>
    <s v="60000"/>
  </r>
  <r>
    <n v="34"/>
    <x v="1"/>
    <x v="1"/>
    <x v="0"/>
    <x v="80"/>
    <x v="9"/>
    <x v="1"/>
    <s v="60000"/>
  </r>
  <r>
    <n v="35"/>
    <x v="1"/>
    <x v="1"/>
    <x v="0"/>
    <x v="81"/>
    <x v="8"/>
    <x v="1"/>
    <s v="60000"/>
  </r>
  <r>
    <n v="35"/>
    <x v="1"/>
    <x v="0"/>
    <x v="0"/>
    <x v="82"/>
    <x v="9"/>
    <x v="1"/>
    <s v="60000"/>
  </r>
  <r>
    <n v="35"/>
    <x v="1"/>
    <x v="1"/>
    <x v="1"/>
    <x v="83"/>
    <x v="9"/>
    <x v="1"/>
    <s v="60000"/>
  </r>
  <r>
    <n v="35"/>
    <x v="1"/>
    <x v="1"/>
    <x v="1"/>
    <x v="84"/>
    <x v="10"/>
    <x v="1"/>
    <s v="60000"/>
  </r>
  <r>
    <n v="35"/>
    <x v="1"/>
    <x v="1"/>
    <x v="1"/>
    <x v="78"/>
    <x v="11"/>
    <x v="1"/>
    <s v="60000"/>
  </r>
  <r>
    <n v="35"/>
    <x v="1"/>
    <x v="1"/>
    <x v="0"/>
    <x v="85"/>
    <x v="9"/>
    <x v="1"/>
    <s v="60000"/>
  </r>
  <r>
    <n v="35"/>
    <x v="1"/>
    <x v="1"/>
    <x v="0"/>
    <x v="86"/>
    <x v="9"/>
    <x v="1"/>
    <s v="60000"/>
  </r>
  <r>
    <n v="35"/>
    <x v="1"/>
    <x v="1"/>
    <x v="1"/>
    <x v="76"/>
    <x v="12"/>
    <x v="1"/>
    <s v="60000"/>
  </r>
  <r>
    <n v="35"/>
    <x v="1"/>
    <x v="0"/>
    <x v="0"/>
    <x v="87"/>
    <x v="10"/>
    <x v="1"/>
    <s v="60000"/>
  </r>
  <r>
    <n v="35"/>
    <x v="1"/>
    <x v="1"/>
    <x v="0"/>
    <x v="88"/>
    <x v="12"/>
    <x v="1"/>
    <s v="60000"/>
  </r>
  <r>
    <n v="35"/>
    <x v="1"/>
    <x v="1"/>
    <x v="0"/>
    <x v="86"/>
    <x v="10"/>
    <x v="1"/>
    <s v="60000"/>
  </r>
  <r>
    <n v="35"/>
    <x v="1"/>
    <x v="0"/>
    <x v="0"/>
    <x v="87"/>
    <x v="10"/>
    <x v="1"/>
    <s v="60000"/>
  </r>
  <r>
    <n v="35"/>
    <x v="1"/>
    <x v="1"/>
    <x v="0"/>
    <x v="88"/>
    <x v="12"/>
    <x v="1"/>
    <s v="60000"/>
  </r>
  <r>
    <n v="35"/>
    <x v="1"/>
    <x v="1"/>
    <x v="0"/>
    <x v="89"/>
    <x v="12"/>
    <x v="1"/>
    <s v="60000"/>
  </r>
  <r>
    <n v="35"/>
    <x v="1"/>
    <x v="0"/>
    <x v="0"/>
    <x v="87"/>
    <x v="10"/>
    <x v="1"/>
    <s v="60000"/>
  </r>
  <r>
    <n v="35"/>
    <x v="1"/>
    <x v="1"/>
    <x v="0"/>
    <x v="90"/>
    <x v="9"/>
    <x v="1"/>
    <s v="60000"/>
  </r>
  <r>
    <n v="35"/>
    <x v="1"/>
    <x v="1"/>
    <x v="0"/>
    <x v="89"/>
    <x v="12"/>
    <x v="1"/>
    <s v="60000"/>
  </r>
  <r>
    <n v="35"/>
    <x v="1"/>
    <x v="0"/>
    <x v="0"/>
    <x v="87"/>
    <x v="10"/>
    <x v="1"/>
    <s v="60000"/>
  </r>
  <r>
    <n v="35"/>
    <x v="1"/>
    <x v="0"/>
    <x v="0"/>
    <x v="89"/>
    <x v="10"/>
    <x v="1"/>
    <s v="60000"/>
  </r>
  <r>
    <n v="35"/>
    <x v="1"/>
    <x v="0"/>
    <x v="0"/>
    <x v="87"/>
    <x v="10"/>
    <x v="1"/>
    <s v="60000"/>
  </r>
  <r>
    <n v="35"/>
    <x v="1"/>
    <x v="0"/>
    <x v="0"/>
    <x v="89"/>
    <x v="10"/>
    <x v="1"/>
    <s v="60000"/>
  </r>
  <r>
    <n v="35"/>
    <x v="1"/>
    <x v="0"/>
    <x v="0"/>
    <x v="87"/>
    <x v="10"/>
    <x v="1"/>
    <s v="60000"/>
  </r>
  <r>
    <n v="36"/>
    <x v="1"/>
    <x v="0"/>
    <x v="0"/>
    <x v="36"/>
    <x v="9"/>
    <x v="1"/>
    <s v="60000"/>
  </r>
  <r>
    <n v="36"/>
    <x v="1"/>
    <x v="0"/>
    <x v="0"/>
    <x v="91"/>
    <x v="12"/>
    <x v="1"/>
    <s v="60000"/>
  </r>
  <r>
    <n v="36"/>
    <x v="1"/>
    <x v="0"/>
    <x v="0"/>
    <x v="92"/>
    <x v="10"/>
    <x v="1"/>
    <s v="60000"/>
  </r>
  <r>
    <n v="36"/>
    <x v="1"/>
    <x v="1"/>
    <x v="0"/>
    <x v="54"/>
    <x v="12"/>
    <x v="1"/>
    <s v="60000"/>
  </r>
  <r>
    <n v="36"/>
    <x v="1"/>
    <x v="1"/>
    <x v="0"/>
    <x v="93"/>
    <x v="10"/>
    <x v="1"/>
    <s v="60000"/>
  </r>
  <r>
    <n v="36"/>
    <x v="1"/>
    <x v="1"/>
    <x v="2"/>
    <x v="94"/>
    <x v="13"/>
    <x v="1"/>
    <s v="100000"/>
  </r>
  <r>
    <n v="36"/>
    <x v="1"/>
    <x v="1"/>
    <x v="0"/>
    <x v="95"/>
    <x v="9"/>
    <x v="1"/>
    <s v="60000"/>
  </r>
  <r>
    <n v="36"/>
    <x v="1"/>
    <x v="1"/>
    <x v="0"/>
    <x v="96"/>
    <x v="9"/>
    <x v="1"/>
    <s v="60000"/>
  </r>
  <r>
    <n v="36"/>
    <x v="1"/>
    <x v="1"/>
    <x v="1"/>
    <x v="90"/>
    <x v="13"/>
    <x v="1"/>
    <s v="100000"/>
  </r>
  <r>
    <n v="36"/>
    <x v="1"/>
    <x v="0"/>
    <x v="0"/>
    <x v="97"/>
    <x v="10"/>
    <x v="1"/>
    <s v="60000"/>
  </r>
  <r>
    <n v="36"/>
    <x v="1"/>
    <x v="1"/>
    <x v="0"/>
    <x v="98"/>
    <x v="9"/>
    <x v="1"/>
    <s v="60000"/>
  </r>
  <r>
    <n v="36"/>
    <x v="1"/>
    <x v="1"/>
    <x v="0"/>
    <x v="71"/>
    <x v="10"/>
    <x v="1"/>
    <s v="60000"/>
  </r>
  <r>
    <n v="36"/>
    <x v="1"/>
    <x v="1"/>
    <x v="0"/>
    <x v="97"/>
    <x v="10"/>
    <x v="1"/>
    <s v="60000"/>
  </r>
  <r>
    <n v="36"/>
    <x v="1"/>
    <x v="1"/>
    <x v="0"/>
    <x v="78"/>
    <x v="10"/>
    <x v="1"/>
    <s v="60000"/>
  </r>
  <r>
    <n v="36"/>
    <x v="1"/>
    <x v="1"/>
    <x v="0"/>
    <x v="63"/>
    <x v="10"/>
    <x v="1"/>
    <s v="60000"/>
  </r>
  <r>
    <n v="36"/>
    <x v="1"/>
    <x v="1"/>
    <x v="0"/>
    <x v="97"/>
    <x v="10"/>
    <x v="1"/>
    <s v="60000"/>
  </r>
  <r>
    <n v="36"/>
    <x v="1"/>
    <x v="1"/>
    <x v="0"/>
    <x v="71"/>
    <x v="12"/>
    <x v="1"/>
    <s v="60000"/>
  </r>
  <r>
    <n v="36"/>
    <x v="1"/>
    <x v="0"/>
    <x v="0"/>
    <x v="99"/>
    <x v="10"/>
    <x v="1"/>
    <s v="60000"/>
  </r>
  <r>
    <n v="36"/>
    <x v="1"/>
    <x v="1"/>
    <x v="0"/>
    <x v="90"/>
    <x v="10"/>
    <x v="1"/>
    <s v="60000"/>
  </r>
  <r>
    <n v="36"/>
    <x v="1"/>
    <x v="0"/>
    <x v="0"/>
    <x v="99"/>
    <x v="10"/>
    <x v="1"/>
    <s v="60000"/>
  </r>
  <r>
    <n v="37"/>
    <x v="1"/>
    <x v="0"/>
    <x v="1"/>
    <x v="100"/>
    <x v="13"/>
    <x v="1"/>
    <s v="100000"/>
  </r>
  <r>
    <n v="37"/>
    <x v="1"/>
    <x v="1"/>
    <x v="0"/>
    <x v="101"/>
    <x v="11"/>
    <x v="1"/>
    <s v="60000"/>
  </r>
  <r>
    <n v="37"/>
    <x v="1"/>
    <x v="1"/>
    <x v="0"/>
    <x v="102"/>
    <x v="12"/>
    <x v="1"/>
    <s v="60000"/>
  </r>
  <r>
    <n v="37"/>
    <x v="1"/>
    <x v="0"/>
    <x v="1"/>
    <x v="103"/>
    <x v="12"/>
    <x v="1"/>
    <s v="60000"/>
  </r>
  <r>
    <n v="37"/>
    <x v="1"/>
    <x v="0"/>
    <x v="1"/>
    <x v="87"/>
    <x v="12"/>
    <x v="1"/>
    <s v="60000"/>
  </r>
  <r>
    <n v="37"/>
    <x v="1"/>
    <x v="1"/>
    <x v="1"/>
    <x v="63"/>
    <x v="12"/>
    <x v="1"/>
    <s v="60000"/>
  </r>
  <r>
    <n v="37"/>
    <x v="1"/>
    <x v="1"/>
    <x v="1"/>
    <x v="104"/>
    <x v="12"/>
    <x v="1"/>
    <s v="60000"/>
  </r>
  <r>
    <n v="37"/>
    <x v="1"/>
    <x v="0"/>
    <x v="0"/>
    <x v="58"/>
    <x v="12"/>
    <x v="1"/>
    <s v="60000"/>
  </r>
  <r>
    <n v="37"/>
    <x v="1"/>
    <x v="0"/>
    <x v="0"/>
    <x v="89"/>
    <x v="11"/>
    <x v="1"/>
    <s v="60000"/>
  </r>
  <r>
    <n v="37"/>
    <x v="1"/>
    <x v="1"/>
    <x v="0"/>
    <x v="58"/>
    <x v="10"/>
    <x v="1"/>
    <s v="60000"/>
  </r>
  <r>
    <n v="37"/>
    <x v="1"/>
    <x v="1"/>
    <x v="0"/>
    <x v="87"/>
    <x v="12"/>
    <x v="1"/>
    <s v="60000"/>
  </r>
  <r>
    <n v="37"/>
    <x v="1"/>
    <x v="1"/>
    <x v="0"/>
    <x v="90"/>
    <x v="11"/>
    <x v="1"/>
    <s v="60000"/>
  </r>
  <r>
    <n v="38"/>
    <x v="1"/>
    <x v="1"/>
    <x v="2"/>
    <x v="105"/>
    <x v="11"/>
    <x v="1"/>
    <s v="60000"/>
  </r>
  <r>
    <n v="38"/>
    <x v="1"/>
    <x v="1"/>
    <x v="2"/>
    <x v="105"/>
    <x v="13"/>
    <x v="1"/>
    <s v="100000"/>
  </r>
  <r>
    <n v="38"/>
    <x v="1"/>
    <x v="0"/>
    <x v="1"/>
    <x v="106"/>
    <x v="11"/>
    <x v="1"/>
    <s v="60000"/>
  </r>
  <r>
    <n v="38"/>
    <x v="1"/>
    <x v="0"/>
    <x v="1"/>
    <x v="107"/>
    <x v="11"/>
    <x v="1"/>
    <s v="60000"/>
  </r>
  <r>
    <n v="38"/>
    <x v="1"/>
    <x v="1"/>
    <x v="0"/>
    <x v="108"/>
    <x v="13"/>
    <x v="1"/>
    <s v="100000"/>
  </r>
  <r>
    <n v="38"/>
    <x v="1"/>
    <x v="0"/>
    <x v="0"/>
    <x v="98"/>
    <x v="11"/>
    <x v="1"/>
    <s v="60000"/>
  </r>
  <r>
    <n v="38"/>
    <x v="1"/>
    <x v="0"/>
    <x v="0"/>
    <x v="109"/>
    <x v="11"/>
    <x v="1"/>
    <s v="60000"/>
  </r>
  <r>
    <n v="38"/>
    <x v="1"/>
    <x v="1"/>
    <x v="1"/>
    <x v="110"/>
    <x v="12"/>
    <x v="1"/>
    <s v="60000"/>
  </r>
  <r>
    <n v="38"/>
    <x v="1"/>
    <x v="0"/>
    <x v="0"/>
    <x v="78"/>
    <x v="11"/>
    <x v="1"/>
    <s v="60000"/>
  </r>
  <r>
    <n v="38"/>
    <x v="1"/>
    <x v="1"/>
    <x v="1"/>
    <x v="110"/>
    <x v="12"/>
    <x v="1"/>
    <s v="60000"/>
  </r>
  <r>
    <n v="38"/>
    <x v="1"/>
    <x v="0"/>
    <x v="0"/>
    <x v="111"/>
    <x v="12"/>
    <x v="1"/>
    <s v="60000"/>
  </r>
  <r>
    <n v="38"/>
    <x v="1"/>
    <x v="0"/>
    <x v="0"/>
    <x v="63"/>
    <x v="11"/>
    <x v="1"/>
    <s v="60000"/>
  </r>
  <r>
    <n v="38"/>
    <x v="1"/>
    <x v="0"/>
    <x v="0"/>
    <x v="80"/>
    <x v="12"/>
    <x v="1"/>
    <s v="60000"/>
  </r>
  <r>
    <n v="38"/>
    <x v="1"/>
    <x v="0"/>
    <x v="0"/>
    <x v="63"/>
    <x v="11"/>
    <x v="1"/>
    <s v="60000"/>
  </r>
  <r>
    <n v="38"/>
    <x v="1"/>
    <x v="0"/>
    <x v="0"/>
    <x v="63"/>
    <x v="11"/>
    <x v="1"/>
    <s v="60000"/>
  </r>
  <r>
    <n v="39"/>
    <x v="1"/>
    <x v="1"/>
    <x v="2"/>
    <x v="112"/>
    <x v="14"/>
    <x v="1"/>
    <s v="100000"/>
  </r>
  <r>
    <n v="39"/>
    <x v="1"/>
    <x v="0"/>
    <x v="0"/>
    <x v="113"/>
    <x v="11"/>
    <x v="1"/>
    <s v="60000"/>
  </r>
  <r>
    <n v="39"/>
    <x v="1"/>
    <x v="0"/>
    <x v="0"/>
    <x v="91"/>
    <x v="13"/>
    <x v="1"/>
    <s v="100000"/>
  </r>
  <r>
    <n v="39"/>
    <x v="1"/>
    <x v="0"/>
    <x v="0"/>
    <x v="114"/>
    <x v="14"/>
    <x v="1"/>
    <s v="100000"/>
  </r>
  <r>
    <n v="39"/>
    <x v="1"/>
    <x v="0"/>
    <x v="1"/>
    <x v="88"/>
    <x v="15"/>
    <x v="1"/>
    <s v="100000"/>
  </r>
  <r>
    <n v="39"/>
    <x v="1"/>
    <x v="0"/>
    <x v="0"/>
    <x v="92"/>
    <x v="11"/>
    <x v="1"/>
    <s v="60000"/>
  </r>
  <r>
    <n v="39"/>
    <x v="1"/>
    <x v="0"/>
    <x v="0"/>
    <x v="115"/>
    <x v="14"/>
    <x v="1"/>
    <s v="100000"/>
  </r>
  <r>
    <n v="39"/>
    <x v="1"/>
    <x v="0"/>
    <x v="0"/>
    <x v="116"/>
    <x v="14"/>
    <x v="1"/>
    <s v="100000"/>
  </r>
  <r>
    <n v="39"/>
    <x v="1"/>
    <x v="0"/>
    <x v="0"/>
    <x v="71"/>
    <x v="11"/>
    <x v="1"/>
    <s v="60000"/>
  </r>
  <r>
    <n v="39"/>
    <x v="1"/>
    <x v="1"/>
    <x v="0"/>
    <x v="97"/>
    <x v="11"/>
    <x v="1"/>
    <s v="60000"/>
  </r>
  <r>
    <n v="39"/>
    <x v="1"/>
    <x v="0"/>
    <x v="0"/>
    <x v="85"/>
    <x v="12"/>
    <x v="1"/>
    <s v="60000"/>
  </r>
  <r>
    <n v="39"/>
    <x v="1"/>
    <x v="0"/>
    <x v="0"/>
    <x v="111"/>
    <x v="14"/>
    <x v="1"/>
    <s v="100000"/>
  </r>
  <r>
    <n v="40"/>
    <x v="1"/>
    <x v="0"/>
    <x v="1"/>
    <x v="101"/>
    <x v="16"/>
    <x v="1"/>
    <s v="100000"/>
  </r>
  <r>
    <n v="40"/>
    <x v="1"/>
    <x v="0"/>
    <x v="0"/>
    <x v="57"/>
    <x v="14"/>
    <x v="1"/>
    <s v="100000"/>
  </r>
  <r>
    <n v="40"/>
    <x v="1"/>
    <x v="0"/>
    <x v="0"/>
    <x v="117"/>
    <x v="14"/>
    <x v="1"/>
    <s v="100000"/>
  </r>
  <r>
    <n v="40"/>
    <x v="1"/>
    <x v="0"/>
    <x v="0"/>
    <x v="82"/>
    <x v="17"/>
    <x v="1"/>
    <s v="100000"/>
  </r>
  <r>
    <n v="40"/>
    <x v="1"/>
    <x v="0"/>
    <x v="0"/>
    <x v="118"/>
    <x v="17"/>
    <x v="1"/>
    <s v="100000"/>
  </r>
  <r>
    <n v="40"/>
    <x v="1"/>
    <x v="0"/>
    <x v="1"/>
    <x v="119"/>
    <x v="14"/>
    <x v="1"/>
    <s v="100000"/>
  </r>
  <r>
    <n v="40"/>
    <x v="1"/>
    <x v="0"/>
    <x v="0"/>
    <x v="120"/>
    <x v="16"/>
    <x v="1"/>
    <s v="100000"/>
  </r>
  <r>
    <n v="40"/>
    <x v="1"/>
    <x v="0"/>
    <x v="1"/>
    <x v="121"/>
    <x v="15"/>
    <x v="1"/>
    <s v="100000"/>
  </r>
  <r>
    <n v="40"/>
    <x v="1"/>
    <x v="0"/>
    <x v="0"/>
    <x v="115"/>
    <x v="14"/>
    <x v="1"/>
    <s v="100000"/>
  </r>
  <r>
    <n v="40"/>
    <x v="1"/>
    <x v="0"/>
    <x v="0"/>
    <x v="99"/>
    <x v="13"/>
    <x v="1"/>
    <s v="100000"/>
  </r>
  <r>
    <n v="40"/>
    <x v="1"/>
    <x v="0"/>
    <x v="0"/>
    <x v="99"/>
    <x v="14"/>
    <x v="1"/>
    <s v="100000"/>
  </r>
  <r>
    <n v="40"/>
    <x v="1"/>
    <x v="1"/>
    <x v="0"/>
    <x v="58"/>
    <x v="14"/>
    <x v="1"/>
    <s v="100000"/>
  </r>
  <r>
    <n v="40"/>
    <x v="1"/>
    <x v="1"/>
    <x v="0"/>
    <x v="58"/>
    <x v="14"/>
    <x v="1"/>
    <s v="100000"/>
  </r>
  <r>
    <n v="41"/>
    <x v="1"/>
    <x v="1"/>
    <x v="1"/>
    <x v="122"/>
    <x v="15"/>
    <x v="1"/>
    <s v="100000"/>
  </r>
  <r>
    <n v="41"/>
    <x v="1"/>
    <x v="1"/>
    <x v="1"/>
    <x v="123"/>
    <x v="15"/>
    <x v="1"/>
    <s v="100000"/>
  </r>
  <r>
    <n v="41"/>
    <x v="1"/>
    <x v="0"/>
    <x v="1"/>
    <x v="21"/>
    <x v="15"/>
    <x v="1"/>
    <s v="100000"/>
  </r>
  <r>
    <n v="41"/>
    <x v="1"/>
    <x v="0"/>
    <x v="1"/>
    <x v="87"/>
    <x v="16"/>
    <x v="1"/>
    <s v="100000"/>
  </r>
  <r>
    <n v="41"/>
    <x v="1"/>
    <x v="0"/>
    <x v="1"/>
    <x v="99"/>
    <x v="15"/>
    <x v="1"/>
    <s v="100000"/>
  </r>
  <r>
    <n v="41"/>
    <x v="1"/>
    <x v="0"/>
    <x v="1"/>
    <x v="124"/>
    <x v="15"/>
    <x v="1"/>
    <s v="100000"/>
  </r>
  <r>
    <n v="41"/>
    <x v="1"/>
    <x v="0"/>
    <x v="0"/>
    <x v="85"/>
    <x v="13"/>
    <x v="1"/>
    <s v="100000"/>
  </r>
  <r>
    <n v="41"/>
    <x v="1"/>
    <x v="0"/>
    <x v="2"/>
    <x v="125"/>
    <x v="18"/>
    <x v="1"/>
    <s v="150000"/>
  </r>
  <r>
    <n v="41"/>
    <x v="1"/>
    <x v="0"/>
    <x v="0"/>
    <x v="88"/>
    <x v="13"/>
    <x v="1"/>
    <s v="100000"/>
  </r>
  <r>
    <n v="41"/>
    <x v="1"/>
    <x v="0"/>
    <x v="0"/>
    <x v="88"/>
    <x v="13"/>
    <x v="1"/>
    <s v="100000"/>
  </r>
  <r>
    <n v="41"/>
    <x v="1"/>
    <x v="1"/>
    <x v="0"/>
    <x v="78"/>
    <x v="16"/>
    <x v="1"/>
    <s v="100000"/>
  </r>
  <r>
    <n v="41"/>
    <x v="1"/>
    <x v="1"/>
    <x v="0"/>
    <x v="78"/>
    <x v="16"/>
    <x v="1"/>
    <s v="100000"/>
  </r>
  <r>
    <n v="42"/>
    <x v="1"/>
    <x v="0"/>
    <x v="1"/>
    <x v="83"/>
    <x v="14"/>
    <x v="1"/>
    <s v="100000"/>
  </r>
  <r>
    <n v="42"/>
    <x v="1"/>
    <x v="1"/>
    <x v="1"/>
    <x v="126"/>
    <x v="16"/>
    <x v="1"/>
    <s v="100000"/>
  </r>
  <r>
    <n v="42"/>
    <x v="1"/>
    <x v="0"/>
    <x v="1"/>
    <x v="127"/>
    <x v="16"/>
    <x v="1"/>
    <s v="100000"/>
  </r>
  <r>
    <n v="42"/>
    <x v="1"/>
    <x v="0"/>
    <x v="1"/>
    <x v="128"/>
    <x v="17"/>
    <x v="1"/>
    <s v="100000"/>
  </r>
  <r>
    <n v="42"/>
    <x v="1"/>
    <x v="0"/>
    <x v="0"/>
    <x v="54"/>
    <x v="18"/>
    <x v="1"/>
    <s v="150000"/>
  </r>
  <r>
    <n v="42"/>
    <x v="1"/>
    <x v="0"/>
    <x v="2"/>
    <x v="129"/>
    <x v="19"/>
    <x v="1"/>
    <s v="150000"/>
  </r>
  <r>
    <n v="42"/>
    <x v="1"/>
    <x v="0"/>
    <x v="2"/>
    <x v="99"/>
    <x v="20"/>
    <x v="1"/>
    <s v="150000"/>
  </r>
  <r>
    <n v="42"/>
    <x v="1"/>
    <x v="0"/>
    <x v="1"/>
    <x v="124"/>
    <x v="15"/>
    <x v="1"/>
    <s v="100000"/>
  </r>
  <r>
    <n v="42"/>
    <x v="1"/>
    <x v="0"/>
    <x v="2"/>
    <x v="99"/>
    <x v="15"/>
    <x v="1"/>
    <s v="100000"/>
  </r>
  <r>
    <n v="42"/>
    <x v="1"/>
    <x v="1"/>
    <x v="0"/>
    <x v="71"/>
    <x v="14"/>
    <x v="1"/>
    <s v="100000"/>
  </r>
  <r>
    <n v="42"/>
    <x v="1"/>
    <x v="0"/>
    <x v="0"/>
    <x v="111"/>
    <x v="14"/>
    <x v="1"/>
    <s v="100000"/>
  </r>
  <r>
    <n v="43"/>
    <x v="1"/>
    <x v="0"/>
    <x v="2"/>
    <x v="130"/>
    <x v="17"/>
    <x v="1"/>
    <s v="100000"/>
  </r>
  <r>
    <n v="43"/>
    <x v="1"/>
    <x v="1"/>
    <x v="2"/>
    <x v="112"/>
    <x v="18"/>
    <x v="1"/>
    <s v="150000"/>
  </r>
  <r>
    <n v="43"/>
    <x v="1"/>
    <x v="1"/>
    <x v="0"/>
    <x v="131"/>
    <x v="20"/>
    <x v="1"/>
    <s v="150000"/>
  </r>
  <r>
    <n v="43"/>
    <x v="1"/>
    <x v="0"/>
    <x v="1"/>
    <x v="132"/>
    <x v="16"/>
    <x v="1"/>
    <s v="100000"/>
  </r>
  <r>
    <n v="43"/>
    <x v="1"/>
    <x v="0"/>
    <x v="2"/>
    <x v="133"/>
    <x v="20"/>
    <x v="1"/>
    <s v="150000"/>
  </r>
  <r>
    <n v="43"/>
    <x v="1"/>
    <x v="1"/>
    <x v="0"/>
    <x v="111"/>
    <x v="19"/>
    <x v="1"/>
    <s v="150000"/>
  </r>
  <r>
    <n v="43"/>
    <x v="1"/>
    <x v="1"/>
    <x v="0"/>
    <x v="134"/>
    <x v="16"/>
    <x v="1"/>
    <s v="100000"/>
  </r>
  <r>
    <n v="43"/>
    <x v="1"/>
    <x v="1"/>
    <x v="0"/>
    <x v="111"/>
    <x v="17"/>
    <x v="1"/>
    <s v="100000"/>
  </r>
  <r>
    <n v="43"/>
    <x v="1"/>
    <x v="0"/>
    <x v="2"/>
    <x v="129"/>
    <x v="17"/>
    <x v="1"/>
    <s v="100000"/>
  </r>
  <r>
    <n v="43"/>
    <x v="1"/>
    <x v="1"/>
    <x v="1"/>
    <x v="135"/>
    <x v="20"/>
    <x v="1"/>
    <s v="150000"/>
  </r>
  <r>
    <n v="43"/>
    <x v="1"/>
    <x v="1"/>
    <x v="1"/>
    <x v="135"/>
    <x v="20"/>
    <x v="1"/>
    <s v="150000"/>
  </r>
  <r>
    <n v="43"/>
    <x v="1"/>
    <x v="1"/>
    <x v="1"/>
    <x v="136"/>
    <x v="21"/>
    <x v="1"/>
    <s v="150000"/>
  </r>
  <r>
    <n v="44"/>
    <x v="1"/>
    <x v="1"/>
    <x v="0"/>
    <x v="137"/>
    <x v="19"/>
    <x v="1"/>
    <s v="150000"/>
  </r>
  <r>
    <n v="44"/>
    <x v="1"/>
    <x v="1"/>
    <x v="2"/>
    <x v="138"/>
    <x v="19"/>
    <x v="1"/>
    <s v="150000"/>
  </r>
  <r>
    <n v="44"/>
    <x v="1"/>
    <x v="0"/>
    <x v="2"/>
    <x v="105"/>
    <x v="19"/>
    <x v="1"/>
    <s v="150000"/>
  </r>
  <r>
    <n v="44"/>
    <x v="1"/>
    <x v="1"/>
    <x v="0"/>
    <x v="139"/>
    <x v="16"/>
    <x v="1"/>
    <s v="100000"/>
  </r>
  <r>
    <n v="44"/>
    <x v="1"/>
    <x v="0"/>
    <x v="2"/>
    <x v="140"/>
    <x v="17"/>
    <x v="1"/>
    <s v="100000"/>
  </r>
  <r>
    <n v="44"/>
    <x v="1"/>
    <x v="1"/>
    <x v="0"/>
    <x v="141"/>
    <x v="19"/>
    <x v="1"/>
    <s v="150000"/>
  </r>
  <r>
    <n v="44"/>
    <x v="1"/>
    <x v="1"/>
    <x v="0"/>
    <x v="62"/>
    <x v="16"/>
    <x v="1"/>
    <s v="100000"/>
  </r>
  <r>
    <n v="44"/>
    <x v="1"/>
    <x v="0"/>
    <x v="2"/>
    <x v="142"/>
    <x v="20"/>
    <x v="1"/>
    <s v="150000"/>
  </r>
  <r>
    <n v="44"/>
    <x v="1"/>
    <x v="1"/>
    <x v="0"/>
    <x v="62"/>
    <x v="16"/>
    <x v="1"/>
    <s v="100000"/>
  </r>
  <r>
    <n v="44"/>
    <x v="1"/>
    <x v="0"/>
    <x v="1"/>
    <x v="143"/>
    <x v="17"/>
    <x v="1"/>
    <s v="100000"/>
  </r>
  <r>
    <n v="44"/>
    <x v="1"/>
    <x v="0"/>
    <x v="2"/>
    <x v="133"/>
    <x v="17"/>
    <x v="1"/>
    <s v="100000"/>
  </r>
  <r>
    <n v="44"/>
    <x v="1"/>
    <x v="1"/>
    <x v="0"/>
    <x v="62"/>
    <x v="15"/>
    <x v="1"/>
    <s v="100000"/>
  </r>
  <r>
    <n v="44"/>
    <x v="1"/>
    <x v="1"/>
    <x v="2"/>
    <x v="129"/>
    <x v="19"/>
    <x v="1"/>
    <s v="150000"/>
  </r>
  <r>
    <n v="44"/>
    <x v="1"/>
    <x v="0"/>
    <x v="2"/>
    <x v="133"/>
    <x v="17"/>
    <x v="1"/>
    <s v="100000"/>
  </r>
  <r>
    <n v="44"/>
    <x v="1"/>
    <x v="1"/>
    <x v="0"/>
    <x v="62"/>
    <x v="15"/>
    <x v="1"/>
    <s v="100000"/>
  </r>
  <r>
    <n v="44"/>
    <x v="1"/>
    <x v="0"/>
    <x v="2"/>
    <x v="63"/>
    <x v="17"/>
    <x v="1"/>
    <s v="100000"/>
  </r>
  <r>
    <n v="44"/>
    <x v="1"/>
    <x v="0"/>
    <x v="2"/>
    <x v="144"/>
    <x v="19"/>
    <x v="1"/>
    <s v="150000"/>
  </r>
  <r>
    <n v="44"/>
    <x v="1"/>
    <x v="0"/>
    <x v="2"/>
    <x v="129"/>
    <x v="19"/>
    <x v="1"/>
    <s v="150000"/>
  </r>
  <r>
    <n v="44"/>
    <x v="1"/>
    <x v="0"/>
    <x v="2"/>
    <x v="63"/>
    <x v="17"/>
    <x v="1"/>
    <s v="100000"/>
  </r>
  <r>
    <n v="44"/>
    <x v="1"/>
    <x v="0"/>
    <x v="2"/>
    <x v="144"/>
    <x v="19"/>
    <x v="1"/>
    <s v="150000"/>
  </r>
  <r>
    <n v="44"/>
    <x v="1"/>
    <x v="0"/>
    <x v="2"/>
    <x v="63"/>
    <x v="17"/>
    <x v="1"/>
    <s v="100000"/>
  </r>
  <r>
    <n v="45"/>
    <x v="1"/>
    <x v="1"/>
    <x v="2"/>
    <x v="145"/>
    <x v="17"/>
    <x v="1"/>
    <s v="100000"/>
  </r>
  <r>
    <n v="45"/>
    <x v="1"/>
    <x v="0"/>
    <x v="1"/>
    <x v="135"/>
    <x v="19"/>
    <x v="1"/>
    <s v="150000"/>
  </r>
  <r>
    <n v="45"/>
    <x v="1"/>
    <x v="1"/>
    <x v="2"/>
    <x v="146"/>
    <x v="19"/>
    <x v="1"/>
    <s v="150000"/>
  </r>
  <r>
    <n v="45"/>
    <x v="1"/>
    <x v="1"/>
    <x v="0"/>
    <x v="147"/>
    <x v="22"/>
    <x v="1"/>
    <s v="150000"/>
  </r>
  <r>
    <n v="45"/>
    <x v="1"/>
    <x v="1"/>
    <x v="0"/>
    <x v="148"/>
    <x v="20"/>
    <x v="1"/>
    <s v="150000"/>
  </r>
  <r>
    <n v="45"/>
    <x v="1"/>
    <x v="1"/>
    <x v="1"/>
    <x v="149"/>
    <x v="21"/>
    <x v="1"/>
    <s v="150000"/>
  </r>
  <r>
    <n v="45"/>
    <x v="1"/>
    <x v="1"/>
    <x v="2"/>
    <x v="150"/>
    <x v="18"/>
    <x v="1"/>
    <s v="150000"/>
  </r>
  <r>
    <n v="45"/>
    <x v="1"/>
    <x v="0"/>
    <x v="2"/>
    <x v="133"/>
    <x v="17"/>
    <x v="1"/>
    <s v="100000"/>
  </r>
  <r>
    <n v="45"/>
    <x v="1"/>
    <x v="1"/>
    <x v="1"/>
    <x v="76"/>
    <x v="19"/>
    <x v="1"/>
    <s v="150000"/>
  </r>
  <r>
    <n v="45"/>
    <x v="1"/>
    <x v="0"/>
    <x v="2"/>
    <x v="133"/>
    <x v="17"/>
    <x v="1"/>
    <s v="100000"/>
  </r>
  <r>
    <n v="45"/>
    <x v="1"/>
    <x v="1"/>
    <x v="2"/>
    <x v="144"/>
    <x v="19"/>
    <x v="1"/>
    <s v="150000"/>
  </r>
  <r>
    <n v="45"/>
    <x v="1"/>
    <x v="0"/>
    <x v="1"/>
    <x v="142"/>
    <x v="16"/>
    <x v="1"/>
    <s v="100000"/>
  </r>
  <r>
    <n v="45"/>
    <x v="1"/>
    <x v="1"/>
    <x v="2"/>
    <x v="144"/>
    <x v="19"/>
    <x v="1"/>
    <s v="150000"/>
  </r>
  <r>
    <n v="45"/>
    <x v="1"/>
    <x v="0"/>
    <x v="1"/>
    <x v="99"/>
    <x v="19"/>
    <x v="1"/>
    <s v="150000"/>
  </r>
  <r>
    <n v="45"/>
    <x v="1"/>
    <x v="0"/>
    <x v="2"/>
    <x v="140"/>
    <x v="19"/>
    <x v="1"/>
    <s v="150000"/>
  </r>
  <r>
    <n v="45"/>
    <x v="1"/>
    <x v="1"/>
    <x v="1"/>
    <x v="151"/>
    <x v="21"/>
    <x v="1"/>
    <s v="150000"/>
  </r>
  <r>
    <n v="45"/>
    <x v="1"/>
    <x v="0"/>
    <x v="2"/>
    <x v="140"/>
    <x v="19"/>
    <x v="1"/>
    <s v="150000"/>
  </r>
  <r>
    <n v="46"/>
    <x v="1"/>
    <x v="1"/>
    <x v="2"/>
    <x v="145"/>
    <x v="22"/>
    <x v="1"/>
    <s v="150000"/>
  </r>
  <r>
    <n v="46"/>
    <x v="1"/>
    <x v="1"/>
    <x v="0"/>
    <x v="152"/>
    <x v="21"/>
    <x v="1"/>
    <s v="150000"/>
  </r>
  <r>
    <n v="46"/>
    <x v="1"/>
    <x v="1"/>
    <x v="1"/>
    <x v="111"/>
    <x v="23"/>
    <x v="1"/>
    <s v="200000"/>
  </r>
  <r>
    <n v="46"/>
    <x v="1"/>
    <x v="1"/>
    <x v="1"/>
    <x v="111"/>
    <x v="21"/>
    <x v="1"/>
    <s v="150000"/>
  </r>
  <r>
    <n v="46"/>
    <x v="1"/>
    <x v="1"/>
    <x v="2"/>
    <x v="153"/>
    <x v="20"/>
    <x v="1"/>
    <s v="150000"/>
  </r>
  <r>
    <n v="46"/>
    <x v="1"/>
    <x v="1"/>
    <x v="1"/>
    <x v="136"/>
    <x v="22"/>
    <x v="1"/>
    <s v="150000"/>
  </r>
  <r>
    <n v="46"/>
    <x v="1"/>
    <x v="1"/>
    <x v="2"/>
    <x v="129"/>
    <x v="20"/>
    <x v="1"/>
    <s v="150000"/>
  </r>
  <r>
    <n v="46"/>
    <x v="1"/>
    <x v="1"/>
    <x v="2"/>
    <x v="150"/>
    <x v="21"/>
    <x v="1"/>
    <s v="150000"/>
  </r>
  <r>
    <n v="46"/>
    <x v="1"/>
    <x v="1"/>
    <x v="2"/>
    <x v="129"/>
    <x v="20"/>
    <x v="1"/>
    <s v="150000"/>
  </r>
  <r>
    <n v="46"/>
    <x v="1"/>
    <x v="1"/>
    <x v="2"/>
    <x v="150"/>
    <x v="18"/>
    <x v="1"/>
    <s v="150000"/>
  </r>
  <r>
    <n v="47"/>
    <x v="1"/>
    <x v="1"/>
    <x v="1"/>
    <x v="154"/>
    <x v="21"/>
    <x v="1"/>
    <s v="150000"/>
  </r>
  <r>
    <n v="47"/>
    <x v="1"/>
    <x v="1"/>
    <x v="1"/>
    <x v="155"/>
    <x v="21"/>
    <x v="1"/>
    <s v="150000"/>
  </r>
  <r>
    <n v="47"/>
    <x v="1"/>
    <x v="1"/>
    <x v="2"/>
    <x v="129"/>
    <x v="23"/>
    <x v="1"/>
    <s v="200000"/>
  </r>
  <r>
    <n v="47"/>
    <x v="1"/>
    <x v="1"/>
    <x v="2"/>
    <x v="156"/>
    <x v="24"/>
    <x v="1"/>
    <s v="200000"/>
  </r>
  <r>
    <n v="47"/>
    <x v="1"/>
    <x v="1"/>
    <x v="2"/>
    <x v="157"/>
    <x v="24"/>
    <x v="1"/>
    <s v="200000"/>
  </r>
  <r>
    <n v="47"/>
    <x v="1"/>
    <x v="1"/>
    <x v="0"/>
    <x v="141"/>
    <x v="22"/>
    <x v="1"/>
    <s v="150000"/>
  </r>
  <r>
    <n v="47"/>
    <x v="1"/>
    <x v="1"/>
    <x v="1"/>
    <x v="158"/>
    <x v="21"/>
    <x v="1"/>
    <s v="150000"/>
  </r>
  <r>
    <n v="47"/>
    <x v="1"/>
    <x v="1"/>
    <x v="1"/>
    <x v="159"/>
    <x v="22"/>
    <x v="1"/>
    <s v="150000"/>
  </r>
  <r>
    <n v="47"/>
    <x v="1"/>
    <x v="1"/>
    <x v="1"/>
    <x v="136"/>
    <x v="22"/>
    <x v="1"/>
    <s v="150000"/>
  </r>
  <r>
    <n v="47"/>
    <x v="1"/>
    <x v="0"/>
    <x v="1"/>
    <x v="135"/>
    <x v="22"/>
    <x v="1"/>
    <s v="150000"/>
  </r>
  <r>
    <n v="47"/>
    <x v="1"/>
    <x v="1"/>
    <x v="1"/>
    <x v="135"/>
    <x v="21"/>
    <x v="1"/>
    <s v="150000"/>
  </r>
  <r>
    <n v="47"/>
    <x v="1"/>
    <x v="1"/>
    <x v="1"/>
    <x v="135"/>
    <x v="21"/>
    <x v="1"/>
    <s v="150000"/>
  </r>
  <r>
    <n v="47"/>
    <x v="1"/>
    <x v="1"/>
    <x v="2"/>
    <x v="151"/>
    <x v="22"/>
    <x v="1"/>
    <s v="150000"/>
  </r>
  <r>
    <n v="47"/>
    <x v="1"/>
    <x v="1"/>
    <x v="1"/>
    <x v="136"/>
    <x v="21"/>
    <x v="1"/>
    <s v="150000"/>
  </r>
  <r>
    <n v="47"/>
    <x v="1"/>
    <x v="1"/>
    <x v="1"/>
    <x v="136"/>
    <x v="21"/>
    <x v="1"/>
    <s v="150000"/>
  </r>
  <r>
    <n v="48"/>
    <x v="1"/>
    <x v="0"/>
    <x v="0"/>
    <x v="117"/>
    <x v="20"/>
    <x v="1"/>
    <s v="150000"/>
  </r>
  <r>
    <n v="48"/>
    <x v="1"/>
    <x v="1"/>
    <x v="1"/>
    <x v="160"/>
    <x v="20"/>
    <x v="1"/>
    <s v="150000"/>
  </r>
  <r>
    <n v="48"/>
    <x v="1"/>
    <x v="0"/>
    <x v="1"/>
    <x v="161"/>
    <x v="22"/>
    <x v="1"/>
    <s v="150000"/>
  </r>
  <r>
    <n v="48"/>
    <x v="1"/>
    <x v="1"/>
    <x v="2"/>
    <x v="162"/>
    <x v="22"/>
    <x v="1"/>
    <s v="150000"/>
  </r>
  <r>
    <n v="48"/>
    <x v="1"/>
    <x v="1"/>
    <x v="1"/>
    <x v="163"/>
    <x v="23"/>
    <x v="1"/>
    <s v="200000"/>
  </r>
  <r>
    <n v="48"/>
    <x v="1"/>
    <x v="1"/>
    <x v="1"/>
    <x v="135"/>
    <x v="21"/>
    <x v="1"/>
    <s v="150000"/>
  </r>
  <r>
    <n v="48"/>
    <x v="1"/>
    <x v="0"/>
    <x v="1"/>
    <x v="164"/>
    <x v="22"/>
    <x v="1"/>
    <s v="150000"/>
  </r>
  <r>
    <n v="48"/>
    <x v="1"/>
    <x v="1"/>
    <x v="1"/>
    <x v="135"/>
    <x v="23"/>
    <x v="1"/>
    <s v="200000"/>
  </r>
  <r>
    <n v="48"/>
    <x v="1"/>
    <x v="1"/>
    <x v="1"/>
    <x v="135"/>
    <x v="23"/>
    <x v="1"/>
    <s v="200000"/>
  </r>
  <r>
    <n v="49"/>
    <x v="1"/>
    <x v="1"/>
    <x v="0"/>
    <x v="165"/>
    <x v="23"/>
    <x v="1"/>
    <s v="200000"/>
  </r>
  <r>
    <n v="49"/>
    <x v="1"/>
    <x v="0"/>
    <x v="1"/>
    <x v="58"/>
    <x v="20"/>
    <x v="1"/>
    <s v="150000"/>
  </r>
  <r>
    <n v="49"/>
    <x v="1"/>
    <x v="0"/>
    <x v="1"/>
    <x v="142"/>
    <x v="21"/>
    <x v="1"/>
    <s v="150000"/>
  </r>
  <r>
    <n v="49"/>
    <x v="1"/>
    <x v="0"/>
    <x v="1"/>
    <x v="166"/>
    <x v="23"/>
    <x v="1"/>
    <s v="200000"/>
  </r>
  <r>
    <n v="49"/>
    <x v="1"/>
    <x v="0"/>
    <x v="1"/>
    <x v="135"/>
    <x v="23"/>
    <x v="1"/>
    <s v="200000"/>
  </r>
  <r>
    <n v="49"/>
    <x v="1"/>
    <x v="0"/>
    <x v="1"/>
    <x v="136"/>
    <x v="23"/>
    <x v="1"/>
    <s v="200000"/>
  </r>
  <r>
    <n v="49"/>
    <x v="1"/>
    <x v="1"/>
    <x v="2"/>
    <x v="136"/>
    <x v="23"/>
    <x v="1"/>
    <s v="200000"/>
  </r>
  <r>
    <n v="49"/>
    <x v="1"/>
    <x v="0"/>
    <x v="1"/>
    <x v="135"/>
    <x v="23"/>
    <x v="1"/>
    <s v="200000"/>
  </r>
  <r>
    <n v="50"/>
    <x v="2"/>
    <x v="1"/>
    <x v="0"/>
    <x v="167"/>
    <x v="25"/>
    <x v="1"/>
    <s v="200000"/>
  </r>
  <r>
    <n v="50"/>
    <x v="2"/>
    <x v="0"/>
    <x v="0"/>
    <x v="137"/>
    <x v="24"/>
    <x v="1"/>
    <s v="200000"/>
  </r>
  <r>
    <n v="50"/>
    <x v="2"/>
    <x v="0"/>
    <x v="0"/>
    <x v="168"/>
    <x v="24"/>
    <x v="1"/>
    <s v="200000"/>
  </r>
  <r>
    <n v="50"/>
    <x v="2"/>
    <x v="0"/>
    <x v="1"/>
    <x v="136"/>
    <x v="23"/>
    <x v="1"/>
    <s v="200000"/>
  </r>
  <r>
    <n v="50"/>
    <x v="2"/>
    <x v="0"/>
    <x v="1"/>
    <x v="159"/>
    <x v="22"/>
    <x v="1"/>
    <s v="150000"/>
  </r>
  <r>
    <n v="50"/>
    <x v="2"/>
    <x v="0"/>
    <x v="2"/>
    <x v="169"/>
    <x v="24"/>
    <x v="1"/>
    <s v="200000"/>
  </r>
  <r>
    <n v="50"/>
    <x v="2"/>
    <x v="0"/>
    <x v="2"/>
    <x v="136"/>
    <x v="24"/>
    <x v="1"/>
    <s v="200000"/>
  </r>
  <r>
    <n v="50"/>
    <x v="2"/>
    <x v="0"/>
    <x v="2"/>
    <x v="136"/>
    <x v="24"/>
    <x v="1"/>
    <s v="200000"/>
  </r>
  <r>
    <n v="51"/>
    <x v="2"/>
    <x v="1"/>
    <x v="0"/>
    <x v="170"/>
    <x v="24"/>
    <x v="1"/>
    <s v="200000"/>
  </r>
  <r>
    <n v="51"/>
    <x v="2"/>
    <x v="0"/>
    <x v="0"/>
    <x v="108"/>
    <x v="24"/>
    <x v="1"/>
    <s v="200000"/>
  </r>
  <r>
    <n v="51"/>
    <x v="2"/>
    <x v="0"/>
    <x v="1"/>
    <x v="136"/>
    <x v="26"/>
    <x v="1"/>
    <s v="200000"/>
  </r>
  <r>
    <n v="51"/>
    <x v="2"/>
    <x v="0"/>
    <x v="2"/>
    <x v="171"/>
    <x v="26"/>
    <x v="1"/>
    <s v="200000"/>
  </r>
  <r>
    <n v="51"/>
    <x v="2"/>
    <x v="0"/>
    <x v="1"/>
    <x v="171"/>
    <x v="23"/>
    <x v="1"/>
    <s v="200000"/>
  </r>
  <r>
    <n v="52"/>
    <x v="2"/>
    <x v="1"/>
    <x v="1"/>
    <x v="172"/>
    <x v="22"/>
    <x v="1"/>
    <s v="150000"/>
  </r>
  <r>
    <n v="52"/>
    <x v="2"/>
    <x v="1"/>
    <x v="2"/>
    <x v="173"/>
    <x v="27"/>
    <x v="1"/>
    <s v="200000"/>
  </r>
  <r>
    <n v="52"/>
    <x v="2"/>
    <x v="0"/>
    <x v="1"/>
    <x v="99"/>
    <x v="25"/>
    <x v="1"/>
    <s v="200000"/>
  </r>
  <r>
    <n v="53"/>
    <x v="2"/>
    <x v="1"/>
    <x v="1"/>
    <x v="135"/>
    <x v="25"/>
    <x v="1"/>
    <s v="2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0"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
  <location ref="A3:C6" firstHeaderRow="1" firstDataRow="2" firstDataCol="1"/>
  <pivotFields count="8">
    <pivotField showAll="0"/>
    <pivotField showAll="0">
      <items count="4">
        <item x="1"/>
        <item x="2"/>
        <item x="0"/>
        <item t="default"/>
      </items>
    </pivotField>
    <pivotField axis="axisCol" showAll="0">
      <items count="3">
        <item x="0"/>
        <item x="1"/>
        <item t="default"/>
      </items>
    </pivotField>
    <pivotField showAll="0"/>
    <pivotField showAll="0"/>
    <pivotField dataField="1" showAll="0">
      <items count="29">
        <item x="2"/>
        <item x="0"/>
        <item x="1"/>
        <item x="3"/>
        <item x="4"/>
        <item x="5"/>
        <item x="6"/>
        <item x="7"/>
        <item x="8"/>
        <item x="9"/>
        <item x="10"/>
        <item x="12"/>
        <item x="11"/>
        <item x="13"/>
        <item x="14"/>
        <item x="15"/>
        <item x="16"/>
        <item x="17"/>
        <item x="19"/>
        <item x="18"/>
        <item x="20"/>
        <item x="21"/>
        <item x="22"/>
        <item x="23"/>
        <item x="24"/>
        <item x="26"/>
        <item x="27"/>
        <item x="25"/>
        <item t="default"/>
      </items>
    </pivotField>
    <pivotField axis="axisRow" showAll="0">
      <items count="3">
        <item x="1"/>
        <item x="0"/>
        <item t="default"/>
      </items>
    </pivotField>
    <pivotField showAll="0"/>
  </pivotFields>
  <rowFields count="1">
    <field x="6"/>
  </rowFields>
  <rowItems count="2">
    <i>
      <x/>
    </i>
    <i>
      <x v="1"/>
    </i>
  </rowItems>
  <colFields count="1">
    <field x="2"/>
  </colFields>
  <colItems count="2">
    <i>
      <x/>
    </i>
    <i>
      <x v="1"/>
    </i>
  </colItems>
  <dataFields count="1">
    <dataField name="Count of Years of Experience" fld="5" subtotal="count" baseField="6" baseItem="0"/>
  </dataFields>
  <chartFormats count="10">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2" count="1" selected="0">
            <x v="1"/>
          </reference>
        </references>
      </pivotArea>
    </chartFormat>
    <chartFormat chart="0" format="4" series="1">
      <pivotArea type="data" outline="0" fieldPosition="0">
        <references count="2">
          <reference field="4294967294" count="1" selected="0">
            <x v="0"/>
          </reference>
          <reference field="2" count="1" selected="0">
            <x v="0"/>
          </reference>
        </references>
      </pivotArea>
    </chartFormat>
    <chartFormat chart="0" format="5">
      <pivotArea type="data" outline="0" fieldPosition="0">
        <references count="3">
          <reference field="4294967294" count="1" selected="0">
            <x v="0"/>
          </reference>
          <reference field="2" count="1" selected="0">
            <x v="1"/>
          </reference>
          <reference field="6" count="1" selected="0">
            <x v="0"/>
          </reference>
        </references>
      </pivotArea>
    </chartFormat>
    <chartFormat chart="2" format="9" series="1">
      <pivotArea type="data" outline="0" fieldPosition="0">
        <references count="2">
          <reference field="4294967294" count="1" selected="0">
            <x v="0"/>
          </reference>
          <reference field="2" count="1" selected="0">
            <x v="0"/>
          </reference>
        </references>
      </pivotArea>
    </chartFormat>
    <chartFormat chart="2" format="10" series="1">
      <pivotArea type="data" outline="0" fieldPosition="0">
        <references count="2">
          <reference field="4294967294" count="1" selected="0">
            <x v="0"/>
          </reference>
          <reference field="2" count="1" selected="0">
            <x v="1"/>
          </reference>
        </references>
      </pivotArea>
    </chartFormat>
    <chartFormat chart="2" format="11">
      <pivotArea type="data" outline="0" fieldPosition="0">
        <references count="3">
          <reference field="4294967294" count="1" selected="0">
            <x v="0"/>
          </reference>
          <reference field="2" count="1" selected="0">
            <x v="1"/>
          </reference>
          <reference field="6" count="1" selected="0">
            <x v="0"/>
          </reference>
        </references>
      </pivotArea>
    </chartFormat>
    <chartFormat chart="2"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1"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5">
  <location ref="A3:C9" firstHeaderRow="1" firstDataRow="1" firstDataCol="2"/>
  <pivotFields count="8">
    <pivotField compact="0" outline="0" showAll="0"/>
    <pivotField compact="0" outline="0" showAll="0">
      <items count="4">
        <item x="1"/>
        <item x="2"/>
        <item x="0"/>
        <item t="default"/>
      </items>
    </pivotField>
    <pivotField axis="axisRow" compact="0" outline="0" showAll="0">
      <items count="3">
        <item x="0"/>
        <item x="1"/>
        <item t="default"/>
      </items>
    </pivotField>
    <pivotField compact="0" outline="0" showAll="0"/>
    <pivotField compact="0" outline="0" showAll="0"/>
    <pivotField compact="0" outline="0" showAll="0">
      <items count="29">
        <item x="2"/>
        <item x="0"/>
        <item x="1"/>
        <item x="3"/>
        <item x="4"/>
        <item x="5"/>
        <item x="6"/>
        <item x="7"/>
        <item x="8"/>
        <item x="9"/>
        <item x="10"/>
        <item x="12"/>
        <item x="11"/>
        <item x="13"/>
        <item x="14"/>
        <item x="15"/>
        <item x="16"/>
        <item x="17"/>
        <item x="19"/>
        <item x="18"/>
        <item x="20"/>
        <item x="21"/>
        <item x="22"/>
        <item x="23"/>
        <item x="24"/>
        <item x="26"/>
        <item x="27"/>
        <item x="25"/>
        <item t="default"/>
      </items>
    </pivotField>
    <pivotField axis="axisRow" compact="0" outline="0" showAll="0">
      <items count="3">
        <item x="1"/>
        <item x="0"/>
        <item t="default"/>
      </items>
    </pivotField>
    <pivotField dataField="1" compact="0" outline="0" showAll="0"/>
  </pivotFields>
  <rowFields count="2">
    <field x="2"/>
    <field x="6"/>
  </rowFields>
  <rowItems count="6">
    <i>
      <x/>
      <x/>
    </i>
    <i r="1">
      <x v="1"/>
    </i>
    <i t="default">
      <x/>
    </i>
    <i>
      <x v="1"/>
      <x/>
    </i>
    <i r="1">
      <x v="1"/>
    </i>
    <i t="default">
      <x v="1"/>
    </i>
  </rowItems>
  <colItems count="1">
    <i/>
  </colItems>
  <dataFields count="1">
    <dataField name="Count of Salary" fld="7" subtotal="count" showDataAs="percentOfTotal" baseField="0" baseItem="0" numFmtId="10"/>
  </dataFields>
  <chartFormats count="12">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1">
          <reference field="4294967294" count="1" selected="0">
            <x v="0"/>
          </reference>
        </references>
      </pivotArea>
    </chartFormat>
    <chartFormat chart="0" format="3">
      <pivotArea type="data" outline="0" fieldPosition="0">
        <references count="3">
          <reference field="4294967294" count="1" selected="0">
            <x v="0"/>
          </reference>
          <reference field="2" count="1" selected="0">
            <x v="0"/>
          </reference>
          <reference field="6" count="1" selected="0">
            <x v="0"/>
          </reference>
        </references>
      </pivotArea>
    </chartFormat>
    <chartFormat chart="0" format="4">
      <pivotArea type="data" outline="0" fieldPosition="0">
        <references count="3">
          <reference field="4294967294" count="1" selected="0">
            <x v="0"/>
          </reference>
          <reference field="2" count="1" selected="0">
            <x v="0"/>
          </reference>
          <reference field="6" count="1" selected="0">
            <x v="1"/>
          </reference>
        </references>
      </pivotArea>
    </chartFormat>
    <chartFormat chart="0" format="5">
      <pivotArea type="data" outline="0" fieldPosition="0">
        <references count="3">
          <reference field="4294967294" count="1" selected="0">
            <x v="0"/>
          </reference>
          <reference field="2" count="1" selected="0">
            <x v="1"/>
          </reference>
          <reference field="6" count="1" selected="0">
            <x v="0"/>
          </reference>
        </references>
      </pivotArea>
    </chartFormat>
    <chartFormat chart="0" format="6">
      <pivotArea type="data" outline="0" fieldPosition="0">
        <references count="3">
          <reference field="4294967294" count="1" selected="0">
            <x v="0"/>
          </reference>
          <reference field="2" count="1" selected="0">
            <x v="1"/>
          </reference>
          <reference field="6" count="1" selected="0">
            <x v="1"/>
          </reference>
        </references>
      </pivotArea>
    </chartFormat>
    <chartFormat chart="2" format="17" series="1">
      <pivotArea type="data" outline="0" fieldPosition="0">
        <references count="1">
          <reference field="4294967294" count="1" selected="0">
            <x v="0"/>
          </reference>
        </references>
      </pivotArea>
    </chartFormat>
    <chartFormat chart="2" format="18">
      <pivotArea type="data" outline="0" fieldPosition="0">
        <references count="3">
          <reference field="4294967294" count="1" selected="0">
            <x v="0"/>
          </reference>
          <reference field="2" count="1" selected="0">
            <x v="0"/>
          </reference>
          <reference field="6" count="1" selected="0">
            <x v="0"/>
          </reference>
        </references>
      </pivotArea>
    </chartFormat>
    <chartFormat chart="2" format="19">
      <pivotArea type="data" outline="0" fieldPosition="0">
        <references count="3">
          <reference field="4294967294" count="1" selected="0">
            <x v="0"/>
          </reference>
          <reference field="2" count="1" selected="0">
            <x v="0"/>
          </reference>
          <reference field="6" count="1" selected="0">
            <x v="1"/>
          </reference>
        </references>
      </pivotArea>
    </chartFormat>
    <chartFormat chart="2" format="20">
      <pivotArea type="data" outline="0" fieldPosition="0">
        <references count="3">
          <reference field="4294967294" count="1" selected="0">
            <x v="0"/>
          </reference>
          <reference field="2" count="1" selected="0">
            <x v="1"/>
          </reference>
          <reference field="6" count="1" selected="0">
            <x v="0"/>
          </reference>
        </references>
      </pivotArea>
    </chartFormat>
    <chartFormat chart="2" format="21">
      <pivotArea type="data" outline="0" fieldPosition="0">
        <references count="3">
          <reference field="4294967294" count="1" selected="0">
            <x v="0"/>
          </reference>
          <reference field="2" count="1" selected="0">
            <x v="1"/>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2"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6">
  <location ref="A3:C7" firstHeaderRow="1" firstDataRow="2" firstDataCol="1"/>
  <pivotFields count="8">
    <pivotField showAll="0"/>
    <pivotField axis="axisRow" showAll="0">
      <items count="4">
        <item x="1"/>
        <item x="2"/>
        <item x="0"/>
        <item t="default"/>
      </items>
    </pivotField>
    <pivotField showAll="0">
      <items count="3">
        <item x="0"/>
        <item x="1"/>
        <item t="default"/>
      </items>
    </pivotField>
    <pivotField showAll="0">
      <items count="4">
        <item x="0"/>
        <item x="1"/>
        <item x="2"/>
        <item t="default"/>
      </items>
    </pivotField>
    <pivotField showAll="0"/>
    <pivotField showAll="0">
      <items count="29">
        <item x="2"/>
        <item x="0"/>
        <item x="1"/>
        <item x="3"/>
        <item x="4"/>
        <item x="5"/>
        <item x="6"/>
        <item x="7"/>
        <item x="8"/>
        <item x="9"/>
        <item x="10"/>
        <item x="12"/>
        <item x="11"/>
        <item x="13"/>
        <item x="14"/>
        <item x="15"/>
        <item x="16"/>
        <item x="17"/>
        <item x="19"/>
        <item x="18"/>
        <item x="20"/>
        <item x="21"/>
        <item x="22"/>
        <item x="23"/>
        <item x="24"/>
        <item x="26"/>
        <item x="27"/>
        <item x="25"/>
        <item t="default"/>
      </items>
    </pivotField>
    <pivotField axis="axisCol" showAll="0">
      <items count="3">
        <item x="1"/>
        <item x="0"/>
        <item t="default"/>
      </items>
    </pivotField>
    <pivotField dataField="1" showAll="0"/>
  </pivotFields>
  <rowFields count="1">
    <field x="1"/>
  </rowFields>
  <rowItems count="3">
    <i>
      <x/>
    </i>
    <i>
      <x v="1"/>
    </i>
    <i>
      <x v="2"/>
    </i>
  </rowItems>
  <colFields count="1">
    <field x="6"/>
  </colFields>
  <colItems count="2">
    <i>
      <x/>
    </i>
    <i>
      <x v="1"/>
    </i>
  </colItems>
  <dataFields count="1">
    <dataField name="Count of Salary" fld="7" subtotal="count" baseField="0" baseItem="0"/>
  </dataFields>
  <chartFormats count="9">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12" series="1">
      <pivotArea type="data" outline="0" fieldPosition="0">
        <references count="2">
          <reference field="4294967294" count="1" selected="0">
            <x v="0"/>
          </reference>
          <reference field="6" count="1" selected="0">
            <x v="0"/>
          </reference>
        </references>
      </pivotArea>
    </chartFormat>
    <chartFormat chart="0" format="13" series="1">
      <pivotArea type="data" outline="0" fieldPosition="0">
        <references count="2">
          <reference field="4294967294" count="1" selected="0">
            <x v="0"/>
          </reference>
          <reference field="6" count="1" selected="0">
            <x v="1"/>
          </reference>
        </references>
      </pivotArea>
    </chartFormat>
    <chartFormat chart="3" format="18" series="1">
      <pivotArea type="data" outline="0" fieldPosition="0">
        <references count="2">
          <reference field="4294967294" count="1" selected="0">
            <x v="0"/>
          </reference>
          <reference field="6" count="1" selected="0">
            <x v="0"/>
          </reference>
        </references>
      </pivotArea>
    </chartFormat>
    <chartFormat chart="3" format="19" series="1">
      <pivotArea type="data" outline="0" fieldPosition="0">
        <references count="2">
          <reference field="4294967294" count="1" selected="0">
            <x v="0"/>
          </reference>
          <reference field="6" count="1" selected="0">
            <x v="1"/>
          </reference>
        </references>
      </pivotArea>
    </chartFormat>
    <chartFormat chart="3" format="20" series="1">
      <pivotArea type="data" outline="0" fieldPosition="0">
        <references count="1">
          <reference field="4294967294" count="1" selected="0">
            <x v="0"/>
          </reference>
        </references>
      </pivotArea>
    </chartFormat>
    <chartFormat chart="0"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3:B7" firstHeaderRow="1" firstDataRow="1" firstDataCol="1"/>
  <pivotFields count="8">
    <pivotField showAll="0"/>
    <pivotField showAll="0">
      <items count="4">
        <item x="1"/>
        <item x="2"/>
        <item x="0"/>
        <item t="default"/>
      </items>
    </pivotField>
    <pivotField showAll="0">
      <items count="3">
        <item x="0"/>
        <item x="1"/>
        <item t="default"/>
      </items>
    </pivotField>
    <pivotField axis="axisRow" showAll="0">
      <items count="4">
        <item x="0"/>
        <item x="1"/>
        <item x="2"/>
        <item t="default"/>
      </items>
    </pivotField>
    <pivotField showAll="0"/>
    <pivotField showAll="0">
      <items count="29">
        <item x="2"/>
        <item x="0"/>
        <item x="1"/>
        <item x="3"/>
        <item x="4"/>
        <item x="5"/>
        <item x="6"/>
        <item x="7"/>
        <item x="8"/>
        <item x="9"/>
        <item x="10"/>
        <item x="12"/>
        <item x="11"/>
        <item x="13"/>
        <item x="14"/>
        <item x="15"/>
        <item x="16"/>
        <item x="17"/>
        <item x="19"/>
        <item x="18"/>
        <item x="20"/>
        <item x="21"/>
        <item x="22"/>
        <item x="23"/>
        <item x="24"/>
        <item x="26"/>
        <item x="27"/>
        <item x="25"/>
        <item t="default"/>
      </items>
    </pivotField>
    <pivotField showAll="0">
      <items count="3">
        <item x="1"/>
        <item x="0"/>
        <item t="default"/>
      </items>
    </pivotField>
    <pivotField dataField="1" showAll="0"/>
  </pivotFields>
  <rowFields count="1">
    <field x="3"/>
  </rowFields>
  <rowItems count="4">
    <i>
      <x/>
    </i>
    <i>
      <x v="1"/>
    </i>
    <i>
      <x v="2"/>
    </i>
    <i t="grand">
      <x/>
    </i>
  </rowItems>
  <colItems count="1">
    <i/>
  </colItems>
  <dataFields count="1">
    <dataField name="Count of Salary" fld="7" subtotal="count" showDataAs="percentOfTotal" baseField="0" baseItem="0" numFmtId="1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2"/>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 chart="0" format="3">
      <pivotArea type="data" outline="0" fieldPosition="0">
        <references count="2">
          <reference field="4294967294" count="1" selected="0">
            <x v="0"/>
          </reference>
          <reference field="3" count="1" selected="0">
            <x v="0"/>
          </reference>
        </references>
      </pivotArea>
    </chartFormat>
    <chartFormat chart="2" format="12" series="1">
      <pivotArea type="data" outline="0" fieldPosition="0">
        <references count="1">
          <reference field="4294967294" count="1" selected="0">
            <x v="0"/>
          </reference>
        </references>
      </pivotArea>
    </chartFormat>
    <chartFormat chart="2" format="13">
      <pivotArea type="data" outline="0" fieldPosition="0">
        <references count="2">
          <reference field="4294967294" count="1" selected="0">
            <x v="0"/>
          </reference>
          <reference field="3" count="1" selected="0">
            <x v="0"/>
          </reference>
        </references>
      </pivotArea>
    </chartFormat>
    <chartFormat chart="2" format="14">
      <pivotArea type="data" outline="0" fieldPosition="0">
        <references count="2">
          <reference field="4294967294" count="1" selected="0">
            <x v="0"/>
          </reference>
          <reference field="3" count="1" selected="0">
            <x v="1"/>
          </reference>
        </references>
      </pivotArea>
    </chartFormat>
    <chartFormat chart="2" format="15">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14"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5">
  <location ref="A3:B50" firstHeaderRow="1" firstDataRow="1" firstDataCol="1"/>
  <pivotFields count="8">
    <pivotField showAll="0"/>
    <pivotField showAll="0">
      <items count="4">
        <item x="1"/>
        <item x="2"/>
        <item x="0"/>
        <item t="default"/>
      </items>
    </pivotField>
    <pivotField showAll="0">
      <items count="3">
        <item x="0"/>
        <item x="1"/>
        <item t="default"/>
      </items>
    </pivotField>
    <pivotField showAll="0"/>
    <pivotField axis="axisRow" showAll="0">
      <items count="175">
        <item x="61"/>
        <item x="55"/>
        <item h="1" x="92"/>
        <item x="69"/>
        <item h="1" x="74"/>
        <item h="1" x="67"/>
        <item x="167"/>
        <item h="1" x="138"/>
        <item h="1" x="173"/>
        <item h="1" x="46"/>
        <item h="1" x="23"/>
        <item x="127"/>
        <item x="108"/>
        <item h="1" x="12"/>
        <item h="1" x="56"/>
        <item h="1" x="25"/>
        <item h="1" x="7"/>
        <item x="21"/>
        <item h="1" x="2"/>
        <item x="33"/>
        <item h="1" x="47"/>
        <item x="106"/>
        <item h="1" x="172"/>
        <item h="1" x="158"/>
        <item h="1" x="151"/>
        <item h="1" x="159"/>
        <item h="1" x="164"/>
        <item h="1" x="166"/>
        <item h="1" x="171"/>
        <item h="1" x="135"/>
        <item h="1" x="136"/>
        <item h="1" x="163"/>
        <item h="1" x="149"/>
        <item h="1" x="169"/>
        <item h="1" x="57"/>
        <item h="1" x="75"/>
        <item h="1" x="81"/>
        <item x="122"/>
        <item x="34"/>
        <item x="3"/>
        <item h="1" x="82"/>
        <item x="117"/>
        <item h="1" x="161"/>
        <item x="152"/>
        <item h="1" x="43"/>
        <item h="1" x="95"/>
        <item h="1" x="15"/>
        <item h="1" x="8"/>
        <item h="1" x="51"/>
        <item x="26"/>
        <item h="1" x="17"/>
        <item h="1" x="41"/>
        <item h="1" x="49"/>
        <item h="1" x="10"/>
        <item x="96"/>
        <item h="1" x="11"/>
        <item h="1" x="35"/>
        <item h="1" x="1"/>
        <item h="1" x="64"/>
        <item h="1" x="29"/>
        <item h="1" x="53"/>
        <item h="1" x="37"/>
        <item h="1" x="0"/>
        <item h="1" x="40"/>
        <item h="1" x="48"/>
        <item h="1" x="5"/>
        <item h="1" x="28"/>
        <item h="1" x="52"/>
        <item h="1" x="30"/>
        <item x="18"/>
        <item h="1" x="42"/>
        <item h="1" x="39"/>
        <item h="1" x="20"/>
        <item h="1" x="16"/>
        <item h="1" x="50"/>
        <item h="1" x="59"/>
        <item x="9"/>
        <item x="27"/>
        <item h="1" x="19"/>
        <item x="38"/>
        <item x="70"/>
        <item x="31"/>
        <item h="1" x="6"/>
        <item x="65"/>
        <item x="113"/>
        <item x="44"/>
        <item x="118"/>
        <item h="1" x="147"/>
        <item x="160"/>
        <item h="1" x="137"/>
        <item h="1" x="162"/>
        <item h="1" x="94"/>
        <item h="1" x="66"/>
        <item h="1" x="83"/>
        <item h="1" x="84"/>
        <item x="126"/>
        <item x="101"/>
        <item x="107"/>
        <item h="1" x="91"/>
        <item h="1" x="146"/>
        <item h="1" x="156"/>
        <item x="36"/>
        <item x="170"/>
        <item h="1" x="165"/>
        <item x="54"/>
        <item h="1" x="148"/>
        <item h="1" x="4"/>
        <item h="1" x="116"/>
        <item h="1" x="120"/>
        <item h="1" x="98"/>
        <item h="1" x="63"/>
        <item h="1" x="90"/>
        <item h="1" x="130"/>
        <item x="150"/>
        <item x="144"/>
        <item x="129"/>
        <item h="1" x="112"/>
        <item h="1" x="79"/>
        <item x="58"/>
        <item h="1" x="89"/>
        <item h="1" x="128"/>
        <item h="1" x="103"/>
        <item h="1" x="142"/>
        <item h="1" x="143"/>
        <item h="1" x="109"/>
        <item x="124"/>
        <item h="1" x="121"/>
        <item h="1" x="110"/>
        <item h="1" x="134"/>
        <item h="1" x="139"/>
        <item h="1" x="145"/>
        <item h="1" x="87"/>
        <item h="1" x="85"/>
        <item h="1" x="125"/>
        <item x="99"/>
        <item h="1" x="97"/>
        <item h="1" x="86"/>
        <item h="1" x="80"/>
        <item h="1" x="71"/>
        <item h="1" x="133"/>
        <item h="1" x="72"/>
        <item h="1" x="78"/>
        <item h="1" x="132"/>
        <item h="1" x="88"/>
        <item h="1" x="111"/>
        <item h="1" x="77"/>
        <item h="1" x="157"/>
        <item h="1" x="153"/>
        <item x="141"/>
        <item h="1" x="115"/>
        <item x="105"/>
        <item h="1" x="104"/>
        <item x="76"/>
        <item h="1" x="62"/>
        <item h="1" x="119"/>
        <item h="1" x="140"/>
        <item x="45"/>
        <item h="1" x="22"/>
        <item h="1" x="32"/>
        <item x="60"/>
        <item h="1" x="100"/>
        <item h="1" x="102"/>
        <item h="1" x="123"/>
        <item h="1" x="168"/>
        <item x="131"/>
        <item h="1" x="93"/>
        <item h="1" x="24"/>
        <item h="1" x="13"/>
        <item x="114"/>
        <item h="1" x="73"/>
        <item h="1" x="14"/>
        <item h="1" x="155"/>
        <item h="1" x="154"/>
        <item x="68"/>
        <item t="default"/>
      </items>
    </pivotField>
    <pivotField showAll="0">
      <items count="29">
        <item x="2"/>
        <item x="0"/>
        <item x="1"/>
        <item x="3"/>
        <item x="4"/>
        <item x="5"/>
        <item x="6"/>
        <item x="7"/>
        <item x="8"/>
        <item x="9"/>
        <item x="10"/>
        <item x="12"/>
        <item x="11"/>
        <item x="13"/>
        <item x="14"/>
        <item x="15"/>
        <item x="16"/>
        <item x="17"/>
        <item x="19"/>
        <item x="18"/>
        <item x="20"/>
        <item x="21"/>
        <item x="22"/>
        <item x="23"/>
        <item x="24"/>
        <item x="26"/>
        <item x="27"/>
        <item x="25"/>
        <item t="default"/>
      </items>
    </pivotField>
    <pivotField showAll="0">
      <items count="3">
        <item x="1"/>
        <item x="0"/>
        <item t="default"/>
      </items>
    </pivotField>
    <pivotField dataField="1" showAll="0"/>
  </pivotFields>
  <rowFields count="1">
    <field x="4"/>
  </rowFields>
  <rowItems count="47">
    <i>
      <x/>
    </i>
    <i>
      <x v="1"/>
    </i>
    <i>
      <x v="3"/>
    </i>
    <i>
      <x v="6"/>
    </i>
    <i>
      <x v="11"/>
    </i>
    <i>
      <x v="12"/>
    </i>
    <i>
      <x v="17"/>
    </i>
    <i>
      <x v="19"/>
    </i>
    <i>
      <x v="21"/>
    </i>
    <i>
      <x v="37"/>
    </i>
    <i>
      <x v="38"/>
    </i>
    <i>
      <x v="39"/>
    </i>
    <i>
      <x v="41"/>
    </i>
    <i>
      <x v="43"/>
    </i>
    <i>
      <x v="49"/>
    </i>
    <i>
      <x v="54"/>
    </i>
    <i>
      <x v="69"/>
    </i>
    <i>
      <x v="76"/>
    </i>
    <i>
      <x v="77"/>
    </i>
    <i>
      <x v="79"/>
    </i>
    <i>
      <x v="80"/>
    </i>
    <i>
      <x v="81"/>
    </i>
    <i>
      <x v="83"/>
    </i>
    <i>
      <x v="84"/>
    </i>
    <i>
      <x v="85"/>
    </i>
    <i>
      <x v="86"/>
    </i>
    <i>
      <x v="88"/>
    </i>
    <i>
      <x v="95"/>
    </i>
    <i>
      <x v="96"/>
    </i>
    <i>
      <x v="97"/>
    </i>
    <i>
      <x v="101"/>
    </i>
    <i>
      <x v="102"/>
    </i>
    <i>
      <x v="104"/>
    </i>
    <i>
      <x v="113"/>
    </i>
    <i>
      <x v="114"/>
    </i>
    <i>
      <x v="115"/>
    </i>
    <i>
      <x v="118"/>
    </i>
    <i>
      <x v="125"/>
    </i>
    <i>
      <x v="134"/>
    </i>
    <i>
      <x v="148"/>
    </i>
    <i>
      <x v="150"/>
    </i>
    <i>
      <x v="152"/>
    </i>
    <i>
      <x v="156"/>
    </i>
    <i>
      <x v="159"/>
    </i>
    <i>
      <x v="164"/>
    </i>
    <i>
      <x v="168"/>
    </i>
    <i>
      <x v="173"/>
    </i>
  </rowItems>
  <colItems count="1">
    <i/>
  </colItems>
  <dataFields count="1">
    <dataField name="Count of Salary" fld="7" subtotal="count" showDataAs="percentOfTotal" baseField="0" baseItem="0" numFmtId="10"/>
  </dataFields>
  <chartFormats count="2">
    <chartFormat chart="0" format="0"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1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7">
  <location ref="A3:B6" firstHeaderRow="1" firstDataRow="1" firstDataCol="1"/>
  <pivotFields count="8">
    <pivotField showAll="0"/>
    <pivotField showAll="0">
      <items count="4">
        <item x="1"/>
        <item x="2"/>
        <item x="0"/>
        <item t="default"/>
      </items>
    </pivotField>
    <pivotField showAll="0">
      <items count="3">
        <item x="0"/>
        <item x="1"/>
        <item t="default"/>
      </items>
    </pivotField>
    <pivotField showAll="0"/>
    <pivotField showAll="0"/>
    <pivotField showAll="0">
      <items count="29">
        <item x="2"/>
        <item x="0"/>
        <item x="1"/>
        <item x="3"/>
        <item x="4"/>
        <item x="5"/>
        <item x="6"/>
        <item x="7"/>
        <item x="8"/>
        <item x="9"/>
        <item x="10"/>
        <item x="12"/>
        <item x="11"/>
        <item x="13"/>
        <item x="14"/>
        <item x="15"/>
        <item x="16"/>
        <item x="17"/>
        <item x="19"/>
        <item x="18"/>
        <item x="20"/>
        <item x="21"/>
        <item x="22"/>
        <item x="23"/>
        <item x="24"/>
        <item x="26"/>
        <item x="27"/>
        <item x="25"/>
        <item t="default"/>
      </items>
    </pivotField>
    <pivotField axis="axisRow" showAll="0">
      <items count="3">
        <item x="1"/>
        <item x="0"/>
        <item t="default"/>
      </items>
    </pivotField>
    <pivotField dataField="1" showAll="0"/>
  </pivotFields>
  <rowFields count="1">
    <field x="6"/>
  </rowFields>
  <rowItems count="3">
    <i>
      <x/>
    </i>
    <i>
      <x v="1"/>
    </i>
    <i t="grand">
      <x/>
    </i>
  </rowItems>
  <colItems count="1">
    <i/>
  </colItems>
  <dataFields count="1">
    <dataField name="Count of Salary" fld="7" subtotal="count" showDataAs="percentOfTotal" baseField="0" baseItem="0" numFmtId="10"/>
  </dataFields>
  <chartFormats count="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6" count="1" selected="0">
            <x v="0"/>
          </reference>
        </references>
      </pivotArea>
    </chartFormat>
    <chartFormat chart="1" format="2">
      <pivotArea type="data" outline="0" fieldPosition="0">
        <references count="2">
          <reference field="4294967294" count="1" selected="0">
            <x v="0"/>
          </reference>
          <reference field="6" count="1" selected="0">
            <x v="1"/>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6" count="1" selected="0">
            <x v="0"/>
          </reference>
        </references>
      </pivotArea>
    </chartFormat>
    <chartFormat chart="3" format="8">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00000000-0013-0000-FFFF-FFFF01000000}" sourceName="Age Group">
  <pivotTables>
    <pivotTable tabId="2" name="PivotTable10"/>
    <pivotTable tabId="3" name="PivotTable11"/>
    <pivotTable tabId="4" name="PivotTable12"/>
    <pivotTable tabId="5" name="PivotTable13"/>
    <pivotTable tabId="6" name="PivotTable14"/>
    <pivotTable tabId="7" name="PivotTable15"/>
  </pivotTables>
  <data>
    <tabular pivotCacheId="750469128">
      <items count="3">
        <i x="1"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00000000-0013-0000-FFFF-FFFF02000000}" sourceName="Gender">
  <pivotTables>
    <pivotTable tabId="2" name="PivotTable10"/>
    <pivotTable tabId="3" name="PivotTable11"/>
    <pivotTable tabId="4" name="PivotTable12"/>
    <pivotTable tabId="5" name="PivotTable13"/>
    <pivotTable tabId="6" name="PivotTable14"/>
    <pivotTable tabId="7" name="PivotTable15"/>
  </pivotTables>
  <data>
    <tabular pivotCacheId="750469128">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vel" xr10:uid="{00000000-0013-0000-FFFF-FFFF03000000}" sourceName="Level">
  <pivotTables>
    <pivotTable tabId="2" name="PivotTable10"/>
    <pivotTable tabId="3" name="PivotTable11"/>
    <pivotTable tabId="4" name="PivotTable12"/>
    <pivotTable tabId="5" name="PivotTable13"/>
    <pivotTable tabId="6" name="PivotTable14"/>
    <pivotTable tabId="7" name="PivotTable15"/>
  </pivotTables>
  <data>
    <tabular pivotCacheId="750469128">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Group" xr10:uid="{00000000-0014-0000-FFFF-FFFF01000000}" cache="Slicer_Age_Group" caption="Age Group" rowHeight="241300"/>
  <slicer name="Gender" xr10:uid="{00000000-0014-0000-FFFF-FFFF02000000}" cache="Slicer_Gender" caption="Gender" rowHeight="241300"/>
  <slicer name="Level" xr10:uid="{00000000-0014-0000-FFFF-FFFF03000000}" cache="Slicer_Level" caption="Level"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376"/>
  <sheetViews>
    <sheetView topLeftCell="B1" workbookViewId="0">
      <selection activeCell="K15" sqref="K15"/>
    </sheetView>
  </sheetViews>
  <sheetFormatPr defaultRowHeight="15" x14ac:dyDescent="0.25"/>
  <cols>
    <col min="2" max="2" width="8.140625" customWidth="1"/>
    <col min="3" max="3" width="16.7109375" customWidth="1"/>
    <col min="4" max="4" width="14.42578125" bestFit="1" customWidth="1"/>
    <col min="5" max="5" width="23.5703125" customWidth="1"/>
    <col min="6" max="6" width="36.85546875" bestFit="1" customWidth="1"/>
    <col min="7" max="7" width="24.42578125" bestFit="1" customWidth="1"/>
    <col min="8" max="8" width="24.42578125" customWidth="1"/>
    <col min="9" max="9" width="12.5703125" customWidth="1"/>
  </cols>
  <sheetData>
    <row r="1" spans="1:9" s="93" customFormat="1" ht="26.25" x14ac:dyDescent="0.4">
      <c r="E1" s="93" t="s">
        <v>322</v>
      </c>
    </row>
    <row r="3" spans="1:9" s="1" customFormat="1" ht="36" customHeight="1" x14ac:dyDescent="0.25">
      <c r="A3" s="46" t="s">
        <v>318</v>
      </c>
      <c r="B3" s="46" t="s">
        <v>0</v>
      </c>
      <c r="C3" s="47" t="s">
        <v>185</v>
      </c>
      <c r="D3" s="46" t="s">
        <v>1</v>
      </c>
      <c r="E3" s="46" t="s">
        <v>2</v>
      </c>
      <c r="F3" s="46" t="s">
        <v>3</v>
      </c>
      <c r="G3" s="46" t="s">
        <v>4</v>
      </c>
      <c r="H3" s="47" t="s">
        <v>186</v>
      </c>
      <c r="I3" s="46" t="s">
        <v>5</v>
      </c>
    </row>
    <row r="4" spans="1:9" x14ac:dyDescent="0.25">
      <c r="A4" s="13">
        <v>1</v>
      </c>
      <c r="B4" s="13">
        <v>23</v>
      </c>
      <c r="C4" s="13" t="str">
        <f t="shared" ref="C4:C67" si="0">IF(B4&gt;=50,"Senior",IF(B4&gt;=25,"Adult","Teenager"))</f>
        <v>Teenager</v>
      </c>
      <c r="D4" s="13" t="s">
        <v>9</v>
      </c>
      <c r="E4" s="13" t="s">
        <v>7</v>
      </c>
      <c r="F4" s="13" t="s">
        <v>109</v>
      </c>
      <c r="G4" s="13">
        <v>0.5</v>
      </c>
      <c r="H4" s="13" t="str">
        <f>IF(G4&gt;=4,"Experienced",IF(G4&lt;=3,"Fresher"))</f>
        <v>Fresher</v>
      </c>
      <c r="I4" s="13" t="str">
        <f>IF(G4&lt;=1,"20000",IF(G4&lt;=3,"30000",IF(G4&lt;=10,"60000",IF(G4&lt;=15,"100000",IF(G4&lt;=20,"150000",IF(G4&lt;=25,"200000"))))))</f>
        <v>20000</v>
      </c>
    </row>
    <row r="5" spans="1:9" x14ac:dyDescent="0.25">
      <c r="A5" s="13">
        <v>2</v>
      </c>
      <c r="B5" s="13">
        <v>24</v>
      </c>
      <c r="C5" s="13" t="str">
        <f t="shared" si="0"/>
        <v>Teenager</v>
      </c>
      <c r="D5" s="13" t="s">
        <v>6</v>
      </c>
      <c r="E5" s="13" t="s">
        <v>7</v>
      </c>
      <c r="F5" s="13" t="s">
        <v>38</v>
      </c>
      <c r="G5" s="13">
        <v>1</v>
      </c>
      <c r="H5" s="13" t="str">
        <f t="shared" ref="H5:H68" si="1">IF(G5&gt;=4,"Experienced",IF(G5&lt;=3,"Fresher"))</f>
        <v>Fresher</v>
      </c>
      <c r="I5" s="13" t="str">
        <f t="shared" ref="I5:I68" si="2">IF(G5&lt;=1,"20000",IF(G5&lt;=3,"30000",IF(G5&lt;=10,"60000",IF(G5&lt;=15,"100000",IF(G5&lt;=20,"150000",IF(G5&lt;=25,"200000"))))))</f>
        <v>20000</v>
      </c>
    </row>
    <row r="6" spans="1:9" x14ac:dyDescent="0.25">
      <c r="A6" s="13">
        <v>3</v>
      </c>
      <c r="B6" s="13">
        <v>25</v>
      </c>
      <c r="C6" s="13" t="str">
        <f t="shared" si="0"/>
        <v>Adult</v>
      </c>
      <c r="D6" s="13" t="s">
        <v>9</v>
      </c>
      <c r="E6" s="13" t="s">
        <v>7</v>
      </c>
      <c r="F6" s="13" t="s">
        <v>29</v>
      </c>
      <c r="G6" s="13">
        <v>0</v>
      </c>
      <c r="H6" s="13" t="str">
        <f t="shared" si="1"/>
        <v>Fresher</v>
      </c>
      <c r="I6" s="13" t="str">
        <f t="shared" si="2"/>
        <v>20000</v>
      </c>
    </row>
    <row r="7" spans="1:9" x14ac:dyDescent="0.25">
      <c r="A7" s="13">
        <v>4</v>
      </c>
      <c r="B7" s="13">
        <v>25</v>
      </c>
      <c r="C7" s="13" t="str">
        <f t="shared" si="0"/>
        <v>Adult</v>
      </c>
      <c r="D7" s="13" t="s">
        <v>6</v>
      </c>
      <c r="E7" s="13" t="s">
        <v>7</v>
      </c>
      <c r="F7" s="13" t="s">
        <v>58</v>
      </c>
      <c r="G7" s="13">
        <v>0</v>
      </c>
      <c r="H7" s="13" t="str">
        <f t="shared" si="1"/>
        <v>Fresher</v>
      </c>
      <c r="I7" s="13" t="str">
        <f t="shared" si="2"/>
        <v>20000</v>
      </c>
    </row>
    <row r="8" spans="1:9" x14ac:dyDescent="0.25">
      <c r="A8" s="13">
        <v>5</v>
      </c>
      <c r="B8" s="13">
        <v>25</v>
      </c>
      <c r="C8" s="13" t="str">
        <f t="shared" si="0"/>
        <v>Adult</v>
      </c>
      <c r="D8" s="13" t="s">
        <v>6</v>
      </c>
      <c r="E8" s="13" t="s">
        <v>7</v>
      </c>
      <c r="F8" s="13" t="s">
        <v>82</v>
      </c>
      <c r="G8" s="13">
        <v>0</v>
      </c>
      <c r="H8" s="13" t="str">
        <f t="shared" si="1"/>
        <v>Fresher</v>
      </c>
      <c r="I8" s="13" t="str">
        <f t="shared" si="2"/>
        <v>20000</v>
      </c>
    </row>
    <row r="9" spans="1:9" x14ac:dyDescent="0.25">
      <c r="A9" s="13">
        <v>6</v>
      </c>
      <c r="B9" s="13">
        <v>25</v>
      </c>
      <c r="C9" s="13" t="str">
        <f t="shared" si="0"/>
        <v>Adult</v>
      </c>
      <c r="D9" s="13" t="s">
        <v>9</v>
      </c>
      <c r="E9" s="13" t="s">
        <v>10</v>
      </c>
      <c r="F9" s="13" t="s">
        <v>127</v>
      </c>
      <c r="G9" s="13">
        <v>1.5</v>
      </c>
      <c r="H9" s="13" t="str">
        <f t="shared" si="1"/>
        <v>Fresher</v>
      </c>
      <c r="I9" s="13" t="str">
        <f t="shared" si="2"/>
        <v>30000</v>
      </c>
    </row>
    <row r="10" spans="1:9" x14ac:dyDescent="0.25">
      <c r="A10" s="13">
        <v>7</v>
      </c>
      <c r="B10" s="13">
        <v>26</v>
      </c>
      <c r="C10" s="13" t="str">
        <f t="shared" si="0"/>
        <v>Adult</v>
      </c>
      <c r="D10" s="13" t="s">
        <v>9</v>
      </c>
      <c r="E10" s="13" t="s">
        <v>7</v>
      </c>
      <c r="F10" s="13" t="s">
        <v>19</v>
      </c>
      <c r="G10" s="13">
        <v>1</v>
      </c>
      <c r="H10" s="13" t="str">
        <f t="shared" si="1"/>
        <v>Fresher</v>
      </c>
      <c r="I10" s="13" t="str">
        <f t="shared" si="2"/>
        <v>20000</v>
      </c>
    </row>
    <row r="11" spans="1:9" x14ac:dyDescent="0.25">
      <c r="A11" s="13">
        <v>8</v>
      </c>
      <c r="B11" s="13">
        <v>26</v>
      </c>
      <c r="C11" s="13" t="str">
        <f t="shared" si="0"/>
        <v>Adult</v>
      </c>
      <c r="D11" s="13" t="s">
        <v>9</v>
      </c>
      <c r="E11" s="13" t="s">
        <v>7</v>
      </c>
      <c r="F11" s="13" t="s">
        <v>48</v>
      </c>
      <c r="G11" s="13">
        <v>1</v>
      </c>
      <c r="H11" s="13" t="str">
        <f t="shared" si="1"/>
        <v>Fresher</v>
      </c>
      <c r="I11" s="13" t="str">
        <f t="shared" si="2"/>
        <v>20000</v>
      </c>
    </row>
    <row r="12" spans="1:9" x14ac:dyDescent="0.25">
      <c r="A12" s="13">
        <v>9</v>
      </c>
      <c r="B12" s="13">
        <v>26</v>
      </c>
      <c r="C12" s="13" t="str">
        <f t="shared" si="0"/>
        <v>Adult</v>
      </c>
      <c r="D12" s="13" t="s">
        <v>6</v>
      </c>
      <c r="E12" s="13" t="s">
        <v>7</v>
      </c>
      <c r="F12" s="13" t="s">
        <v>68</v>
      </c>
      <c r="G12" s="13">
        <v>1</v>
      </c>
      <c r="H12" s="13" t="str">
        <f t="shared" si="1"/>
        <v>Fresher</v>
      </c>
      <c r="I12" s="13" t="str">
        <f t="shared" si="2"/>
        <v>20000</v>
      </c>
    </row>
    <row r="13" spans="1:9" x14ac:dyDescent="0.25">
      <c r="A13" s="13">
        <v>10</v>
      </c>
      <c r="B13" s="13">
        <v>26</v>
      </c>
      <c r="C13" s="13" t="str">
        <f t="shared" si="0"/>
        <v>Adult</v>
      </c>
      <c r="D13" s="13" t="s">
        <v>6</v>
      </c>
      <c r="E13" s="13" t="s">
        <v>7</v>
      </c>
      <c r="F13" s="13" t="s">
        <v>93</v>
      </c>
      <c r="G13" s="13">
        <v>1</v>
      </c>
      <c r="H13" s="13" t="str">
        <f t="shared" si="1"/>
        <v>Fresher</v>
      </c>
      <c r="I13" s="13" t="str">
        <f t="shared" si="2"/>
        <v>20000</v>
      </c>
    </row>
    <row r="14" spans="1:9" x14ac:dyDescent="0.25">
      <c r="A14" s="13">
        <v>11</v>
      </c>
      <c r="B14" s="13">
        <v>26</v>
      </c>
      <c r="C14" s="13" t="str">
        <f t="shared" si="0"/>
        <v>Adult</v>
      </c>
      <c r="D14" s="13" t="s">
        <v>6</v>
      </c>
      <c r="E14" s="13" t="s">
        <v>7</v>
      </c>
      <c r="F14" s="13" t="s">
        <v>68</v>
      </c>
      <c r="G14" s="13">
        <v>2</v>
      </c>
      <c r="H14" s="13" t="str">
        <f t="shared" si="1"/>
        <v>Fresher</v>
      </c>
      <c r="I14" s="13" t="str">
        <f t="shared" si="2"/>
        <v>30000</v>
      </c>
    </row>
    <row r="15" spans="1:9" x14ac:dyDescent="0.25">
      <c r="A15" s="13">
        <v>12</v>
      </c>
      <c r="B15" s="13">
        <v>26</v>
      </c>
      <c r="C15" s="13" t="str">
        <f t="shared" si="0"/>
        <v>Adult</v>
      </c>
      <c r="D15" s="13" t="s">
        <v>6</v>
      </c>
      <c r="E15" s="13" t="s">
        <v>7</v>
      </c>
      <c r="F15" s="13" t="s">
        <v>134</v>
      </c>
      <c r="G15" s="13">
        <v>2</v>
      </c>
      <c r="H15" s="13" t="str">
        <f t="shared" si="1"/>
        <v>Fresher</v>
      </c>
      <c r="I15" s="13" t="str">
        <f t="shared" si="2"/>
        <v>30000</v>
      </c>
    </row>
    <row r="16" spans="1:9" x14ac:dyDescent="0.25">
      <c r="A16" s="13">
        <v>13</v>
      </c>
      <c r="B16" s="13">
        <v>26</v>
      </c>
      <c r="C16" s="13" t="str">
        <f t="shared" si="0"/>
        <v>Adult</v>
      </c>
      <c r="D16" s="13" t="s">
        <v>9</v>
      </c>
      <c r="E16" s="13" t="s">
        <v>10</v>
      </c>
      <c r="F16" s="13" t="s">
        <v>151</v>
      </c>
      <c r="G16" s="13">
        <v>1.5</v>
      </c>
      <c r="H16" s="13" t="str">
        <f t="shared" si="1"/>
        <v>Fresher</v>
      </c>
      <c r="I16" s="13" t="str">
        <f t="shared" si="2"/>
        <v>30000</v>
      </c>
    </row>
    <row r="17" spans="1:9" x14ac:dyDescent="0.25">
      <c r="A17" s="13">
        <v>14</v>
      </c>
      <c r="B17" s="13">
        <v>27</v>
      </c>
      <c r="C17" s="13" t="str">
        <f t="shared" si="0"/>
        <v>Adult</v>
      </c>
      <c r="D17" s="13" t="s">
        <v>6</v>
      </c>
      <c r="E17" s="13" t="s">
        <v>7</v>
      </c>
      <c r="F17" s="13" t="s">
        <v>25</v>
      </c>
      <c r="G17" s="13">
        <v>2</v>
      </c>
      <c r="H17" s="13" t="str">
        <f t="shared" si="1"/>
        <v>Fresher</v>
      </c>
      <c r="I17" s="13" t="str">
        <f t="shared" si="2"/>
        <v>30000</v>
      </c>
    </row>
    <row r="18" spans="1:9" x14ac:dyDescent="0.25">
      <c r="A18" s="13">
        <v>15</v>
      </c>
      <c r="B18" s="13">
        <v>27</v>
      </c>
      <c r="C18" s="13" t="str">
        <f t="shared" si="0"/>
        <v>Adult</v>
      </c>
      <c r="D18" s="13" t="s">
        <v>6</v>
      </c>
      <c r="E18" s="13" t="s">
        <v>7</v>
      </c>
      <c r="F18" s="13" t="s">
        <v>45</v>
      </c>
      <c r="G18" s="13">
        <v>2</v>
      </c>
      <c r="H18" s="13" t="str">
        <f t="shared" si="1"/>
        <v>Fresher</v>
      </c>
      <c r="I18" s="13" t="str">
        <f t="shared" si="2"/>
        <v>30000</v>
      </c>
    </row>
    <row r="19" spans="1:9" x14ac:dyDescent="0.25">
      <c r="A19" s="13">
        <v>16</v>
      </c>
      <c r="B19" s="13">
        <v>27</v>
      </c>
      <c r="C19" s="13" t="str">
        <f t="shared" si="0"/>
        <v>Adult</v>
      </c>
      <c r="D19" s="13" t="s">
        <v>9</v>
      </c>
      <c r="E19" s="13" t="s">
        <v>10</v>
      </c>
      <c r="F19" s="13" t="s">
        <v>64</v>
      </c>
      <c r="G19" s="13">
        <v>2</v>
      </c>
      <c r="H19" s="13" t="str">
        <f t="shared" si="1"/>
        <v>Fresher</v>
      </c>
      <c r="I19" s="13" t="str">
        <f t="shared" si="2"/>
        <v>30000</v>
      </c>
    </row>
    <row r="20" spans="1:9" x14ac:dyDescent="0.25">
      <c r="A20" s="13">
        <v>17</v>
      </c>
      <c r="B20" s="13">
        <v>27</v>
      </c>
      <c r="C20" s="13" t="str">
        <f t="shared" si="0"/>
        <v>Adult</v>
      </c>
      <c r="D20" s="13" t="s">
        <v>6</v>
      </c>
      <c r="E20" s="13" t="s">
        <v>7</v>
      </c>
      <c r="F20" s="13" t="s">
        <v>86</v>
      </c>
      <c r="G20" s="13">
        <v>2</v>
      </c>
      <c r="H20" s="13" t="str">
        <f t="shared" si="1"/>
        <v>Fresher</v>
      </c>
      <c r="I20" s="13" t="str">
        <f t="shared" si="2"/>
        <v>30000</v>
      </c>
    </row>
    <row r="21" spans="1:9" x14ac:dyDescent="0.25">
      <c r="A21" s="13">
        <v>18</v>
      </c>
      <c r="B21" s="13">
        <v>27</v>
      </c>
      <c r="C21" s="13" t="str">
        <f t="shared" si="0"/>
        <v>Adult</v>
      </c>
      <c r="D21" s="13" t="s">
        <v>6</v>
      </c>
      <c r="E21" s="13" t="s">
        <v>7</v>
      </c>
      <c r="F21" s="13" t="s">
        <v>121</v>
      </c>
      <c r="G21" s="13">
        <v>1</v>
      </c>
      <c r="H21" s="13" t="str">
        <f t="shared" si="1"/>
        <v>Fresher</v>
      </c>
      <c r="I21" s="13" t="str">
        <f t="shared" si="2"/>
        <v>20000</v>
      </c>
    </row>
    <row r="22" spans="1:9" x14ac:dyDescent="0.25">
      <c r="A22" s="13">
        <v>19</v>
      </c>
      <c r="B22" s="13">
        <v>27</v>
      </c>
      <c r="C22" s="13" t="str">
        <f t="shared" si="0"/>
        <v>Adult</v>
      </c>
      <c r="D22" s="13" t="s">
        <v>6</v>
      </c>
      <c r="E22" s="13" t="s">
        <v>7</v>
      </c>
      <c r="F22" s="13" t="s">
        <v>145</v>
      </c>
      <c r="G22" s="13">
        <v>1.5</v>
      </c>
      <c r="H22" s="13" t="str">
        <f t="shared" si="1"/>
        <v>Fresher</v>
      </c>
      <c r="I22" s="13" t="str">
        <f t="shared" si="2"/>
        <v>30000</v>
      </c>
    </row>
    <row r="23" spans="1:9" x14ac:dyDescent="0.25">
      <c r="A23" s="13">
        <v>20</v>
      </c>
      <c r="B23" s="13">
        <v>27</v>
      </c>
      <c r="C23" s="13" t="str">
        <f t="shared" si="0"/>
        <v>Adult</v>
      </c>
      <c r="D23" s="13" t="s">
        <v>6</v>
      </c>
      <c r="E23" s="13" t="s">
        <v>7</v>
      </c>
      <c r="F23" s="13" t="s">
        <v>155</v>
      </c>
      <c r="G23" s="13">
        <v>2</v>
      </c>
      <c r="H23" s="13" t="str">
        <f t="shared" si="1"/>
        <v>Fresher</v>
      </c>
      <c r="I23" s="13" t="str">
        <f t="shared" si="2"/>
        <v>30000</v>
      </c>
    </row>
    <row r="24" spans="1:9" x14ac:dyDescent="0.25">
      <c r="A24" s="13">
        <v>21</v>
      </c>
      <c r="B24" s="13">
        <v>27</v>
      </c>
      <c r="C24" s="13" t="str">
        <f t="shared" si="0"/>
        <v>Adult</v>
      </c>
      <c r="D24" s="13" t="s">
        <v>9</v>
      </c>
      <c r="E24" s="13" t="s">
        <v>10</v>
      </c>
      <c r="F24" s="13" t="s">
        <v>167</v>
      </c>
      <c r="G24" s="13">
        <v>1.5</v>
      </c>
      <c r="H24" s="13" t="str">
        <f t="shared" si="1"/>
        <v>Fresher</v>
      </c>
      <c r="I24" s="13" t="str">
        <f t="shared" si="2"/>
        <v>30000</v>
      </c>
    </row>
    <row r="25" spans="1:9" x14ac:dyDescent="0.25">
      <c r="A25" s="13">
        <v>22</v>
      </c>
      <c r="B25" s="13">
        <v>27</v>
      </c>
      <c r="C25" s="13" t="str">
        <f t="shared" si="0"/>
        <v>Adult</v>
      </c>
      <c r="D25" s="13" t="s">
        <v>9</v>
      </c>
      <c r="E25" s="13" t="s">
        <v>10</v>
      </c>
      <c r="F25" s="13" t="s">
        <v>176</v>
      </c>
      <c r="G25" s="13">
        <v>1.5</v>
      </c>
      <c r="H25" s="13" t="str">
        <f t="shared" si="1"/>
        <v>Fresher</v>
      </c>
      <c r="I25" s="13" t="str">
        <f t="shared" si="2"/>
        <v>30000</v>
      </c>
    </row>
    <row r="26" spans="1:9" x14ac:dyDescent="0.25">
      <c r="A26" s="13">
        <v>23</v>
      </c>
      <c r="B26" s="13">
        <v>28</v>
      </c>
      <c r="C26" s="13" t="str">
        <f t="shared" si="0"/>
        <v>Adult</v>
      </c>
      <c r="D26" s="13" t="s">
        <v>9</v>
      </c>
      <c r="E26" s="13" t="s">
        <v>10</v>
      </c>
      <c r="F26" s="13" t="s">
        <v>11</v>
      </c>
      <c r="G26" s="13">
        <v>3</v>
      </c>
      <c r="H26" s="13" t="str">
        <f t="shared" si="1"/>
        <v>Fresher</v>
      </c>
      <c r="I26" s="13" t="str">
        <f t="shared" si="2"/>
        <v>30000</v>
      </c>
    </row>
    <row r="27" spans="1:9" x14ac:dyDescent="0.25">
      <c r="A27" s="13">
        <v>24</v>
      </c>
      <c r="B27" s="13">
        <v>28</v>
      </c>
      <c r="C27" s="13" t="str">
        <f t="shared" si="0"/>
        <v>Adult</v>
      </c>
      <c r="D27" s="13" t="s">
        <v>9</v>
      </c>
      <c r="E27" s="13" t="s">
        <v>7</v>
      </c>
      <c r="F27" s="13" t="s">
        <v>36</v>
      </c>
      <c r="G27" s="13">
        <v>3</v>
      </c>
      <c r="H27" s="13" t="str">
        <f t="shared" si="1"/>
        <v>Fresher</v>
      </c>
      <c r="I27" s="13" t="str">
        <f t="shared" si="2"/>
        <v>30000</v>
      </c>
    </row>
    <row r="28" spans="1:9" x14ac:dyDescent="0.25">
      <c r="A28" s="13">
        <v>25</v>
      </c>
      <c r="B28" s="13">
        <v>28</v>
      </c>
      <c r="C28" s="13" t="str">
        <f t="shared" si="0"/>
        <v>Adult</v>
      </c>
      <c r="D28" s="13" t="s">
        <v>9</v>
      </c>
      <c r="E28" s="13" t="s">
        <v>7</v>
      </c>
      <c r="F28" s="13" t="s">
        <v>55</v>
      </c>
      <c r="G28" s="13">
        <v>2</v>
      </c>
      <c r="H28" s="13" t="str">
        <f t="shared" si="1"/>
        <v>Fresher</v>
      </c>
      <c r="I28" s="13" t="str">
        <f t="shared" si="2"/>
        <v>30000</v>
      </c>
    </row>
    <row r="29" spans="1:9" x14ac:dyDescent="0.25">
      <c r="A29" s="13">
        <v>26</v>
      </c>
      <c r="B29" s="13">
        <v>28</v>
      </c>
      <c r="C29" s="13" t="str">
        <f t="shared" si="0"/>
        <v>Adult</v>
      </c>
      <c r="D29" s="13" t="s">
        <v>6</v>
      </c>
      <c r="E29" s="13" t="s">
        <v>7</v>
      </c>
      <c r="F29" s="13" t="s">
        <v>76</v>
      </c>
      <c r="G29" s="13">
        <v>2</v>
      </c>
      <c r="H29" s="13" t="str">
        <f t="shared" si="1"/>
        <v>Fresher</v>
      </c>
      <c r="I29" s="13" t="str">
        <f t="shared" si="2"/>
        <v>30000</v>
      </c>
    </row>
    <row r="30" spans="1:9" x14ac:dyDescent="0.25">
      <c r="A30" s="13">
        <v>27</v>
      </c>
      <c r="B30" s="13">
        <v>28</v>
      </c>
      <c r="C30" s="13" t="str">
        <f t="shared" si="0"/>
        <v>Adult</v>
      </c>
      <c r="D30" s="13" t="s">
        <v>6</v>
      </c>
      <c r="E30" s="13" t="s">
        <v>7</v>
      </c>
      <c r="F30" s="13" t="s">
        <v>104</v>
      </c>
      <c r="G30" s="13">
        <v>2</v>
      </c>
      <c r="H30" s="13" t="str">
        <f t="shared" si="1"/>
        <v>Fresher</v>
      </c>
      <c r="I30" s="13" t="str">
        <f t="shared" si="2"/>
        <v>30000</v>
      </c>
    </row>
    <row r="31" spans="1:9" x14ac:dyDescent="0.25">
      <c r="A31" s="13">
        <v>28</v>
      </c>
      <c r="B31" s="13">
        <v>28</v>
      </c>
      <c r="C31" s="13" t="str">
        <f t="shared" si="0"/>
        <v>Adult</v>
      </c>
      <c r="D31" s="13" t="s">
        <v>6</v>
      </c>
      <c r="E31" s="13" t="s">
        <v>7</v>
      </c>
      <c r="F31" s="13" t="s">
        <v>125</v>
      </c>
      <c r="G31" s="13">
        <v>2</v>
      </c>
      <c r="H31" s="13" t="str">
        <f t="shared" si="1"/>
        <v>Fresher</v>
      </c>
      <c r="I31" s="13" t="str">
        <f t="shared" si="2"/>
        <v>30000</v>
      </c>
    </row>
    <row r="32" spans="1:9" x14ac:dyDescent="0.25">
      <c r="A32" s="13">
        <v>29</v>
      </c>
      <c r="B32" s="13">
        <v>28</v>
      </c>
      <c r="C32" s="13" t="str">
        <f t="shared" si="0"/>
        <v>Adult</v>
      </c>
      <c r="D32" s="13" t="s">
        <v>6</v>
      </c>
      <c r="E32" s="13" t="s">
        <v>7</v>
      </c>
      <c r="F32" s="13" t="s">
        <v>139</v>
      </c>
      <c r="G32" s="13">
        <v>2</v>
      </c>
      <c r="H32" s="13" t="str">
        <f t="shared" si="1"/>
        <v>Fresher</v>
      </c>
      <c r="I32" s="13" t="str">
        <f t="shared" si="2"/>
        <v>30000</v>
      </c>
    </row>
    <row r="33" spans="1:9" x14ac:dyDescent="0.25">
      <c r="A33" s="13">
        <v>30</v>
      </c>
      <c r="B33" s="13">
        <v>28</v>
      </c>
      <c r="C33" s="13" t="str">
        <f t="shared" si="0"/>
        <v>Adult</v>
      </c>
      <c r="D33" s="13" t="s">
        <v>6</v>
      </c>
      <c r="E33" s="13" t="s">
        <v>7</v>
      </c>
      <c r="F33" s="13" t="s">
        <v>114</v>
      </c>
      <c r="G33" s="13">
        <v>1.5</v>
      </c>
      <c r="H33" s="13" t="str">
        <f t="shared" si="1"/>
        <v>Fresher</v>
      </c>
      <c r="I33" s="13" t="str">
        <f t="shared" si="2"/>
        <v>30000</v>
      </c>
    </row>
    <row r="34" spans="1:9" x14ac:dyDescent="0.25">
      <c r="A34" s="13">
        <v>31</v>
      </c>
      <c r="B34" s="13">
        <v>28</v>
      </c>
      <c r="C34" s="13" t="str">
        <f t="shared" si="0"/>
        <v>Adult</v>
      </c>
      <c r="D34" s="13" t="s">
        <v>6</v>
      </c>
      <c r="E34" s="13" t="s">
        <v>7</v>
      </c>
      <c r="F34" s="13" t="s">
        <v>125</v>
      </c>
      <c r="G34" s="13">
        <v>2</v>
      </c>
      <c r="H34" s="13" t="str">
        <f t="shared" si="1"/>
        <v>Fresher</v>
      </c>
      <c r="I34" s="13" t="str">
        <f t="shared" si="2"/>
        <v>30000</v>
      </c>
    </row>
    <row r="35" spans="1:9" x14ac:dyDescent="0.25">
      <c r="A35" s="13">
        <v>32</v>
      </c>
      <c r="B35" s="13">
        <v>28</v>
      </c>
      <c r="C35" s="13" t="str">
        <f t="shared" si="0"/>
        <v>Adult</v>
      </c>
      <c r="D35" s="13" t="s">
        <v>6</v>
      </c>
      <c r="E35" s="13" t="s">
        <v>7</v>
      </c>
      <c r="F35" s="13" t="s">
        <v>145</v>
      </c>
      <c r="G35" s="13">
        <v>2</v>
      </c>
      <c r="H35" s="13" t="str">
        <f t="shared" si="1"/>
        <v>Fresher</v>
      </c>
      <c r="I35" s="13" t="str">
        <f t="shared" si="2"/>
        <v>30000</v>
      </c>
    </row>
    <row r="36" spans="1:9" x14ac:dyDescent="0.25">
      <c r="A36" s="13">
        <v>33</v>
      </c>
      <c r="B36" s="13">
        <v>28</v>
      </c>
      <c r="C36" s="13" t="str">
        <f t="shared" si="0"/>
        <v>Adult</v>
      </c>
      <c r="D36" s="13" t="s">
        <v>6</v>
      </c>
      <c r="E36" s="13" t="s">
        <v>7</v>
      </c>
      <c r="F36" s="13" t="s">
        <v>136</v>
      </c>
      <c r="G36" s="13">
        <v>2</v>
      </c>
      <c r="H36" s="13" t="str">
        <f t="shared" si="1"/>
        <v>Fresher</v>
      </c>
      <c r="I36" s="13" t="str">
        <f t="shared" si="2"/>
        <v>30000</v>
      </c>
    </row>
    <row r="37" spans="1:9" x14ac:dyDescent="0.25">
      <c r="A37" s="13">
        <v>34</v>
      </c>
      <c r="B37" s="13">
        <v>28</v>
      </c>
      <c r="C37" s="13" t="str">
        <f t="shared" si="0"/>
        <v>Adult</v>
      </c>
      <c r="D37" s="13" t="s">
        <v>6</v>
      </c>
      <c r="E37" s="13" t="s">
        <v>7</v>
      </c>
      <c r="F37" s="13" t="s">
        <v>145</v>
      </c>
      <c r="G37" s="13">
        <v>2</v>
      </c>
      <c r="H37" s="13" t="str">
        <f t="shared" si="1"/>
        <v>Fresher</v>
      </c>
      <c r="I37" s="13" t="str">
        <f t="shared" si="2"/>
        <v>30000</v>
      </c>
    </row>
    <row r="38" spans="1:9" x14ac:dyDescent="0.25">
      <c r="A38" s="13">
        <v>35</v>
      </c>
      <c r="B38" s="13">
        <v>28</v>
      </c>
      <c r="C38" s="13" t="str">
        <f t="shared" si="0"/>
        <v>Adult</v>
      </c>
      <c r="D38" s="13" t="s">
        <v>9</v>
      </c>
      <c r="E38" s="13" t="s">
        <v>7</v>
      </c>
      <c r="F38" s="13" t="s">
        <v>174</v>
      </c>
      <c r="G38" s="13">
        <v>1</v>
      </c>
      <c r="H38" s="13" t="str">
        <f t="shared" si="1"/>
        <v>Fresher</v>
      </c>
      <c r="I38" s="13" t="str">
        <f t="shared" si="2"/>
        <v>20000</v>
      </c>
    </row>
    <row r="39" spans="1:9" x14ac:dyDescent="0.25">
      <c r="A39" s="13">
        <v>36</v>
      </c>
      <c r="B39" s="13">
        <v>29</v>
      </c>
      <c r="C39" s="13" t="str">
        <f t="shared" si="0"/>
        <v>Adult</v>
      </c>
      <c r="D39" s="13" t="s">
        <v>6</v>
      </c>
      <c r="E39" s="13" t="s">
        <v>7</v>
      </c>
      <c r="F39" s="13" t="s">
        <v>16</v>
      </c>
      <c r="G39" s="13">
        <v>2</v>
      </c>
      <c r="H39" s="13" t="str">
        <f t="shared" si="1"/>
        <v>Fresher</v>
      </c>
      <c r="I39" s="13" t="str">
        <f t="shared" si="2"/>
        <v>30000</v>
      </c>
    </row>
    <row r="40" spans="1:9" x14ac:dyDescent="0.25">
      <c r="A40" s="13">
        <v>37</v>
      </c>
      <c r="B40" s="13">
        <v>29</v>
      </c>
      <c r="C40" s="13" t="str">
        <f t="shared" si="0"/>
        <v>Adult</v>
      </c>
      <c r="D40" s="13" t="s">
        <v>6</v>
      </c>
      <c r="E40" s="13" t="s">
        <v>10</v>
      </c>
      <c r="F40" s="13" t="s">
        <v>21</v>
      </c>
      <c r="G40" s="13">
        <v>3</v>
      </c>
      <c r="H40" s="13" t="str">
        <f t="shared" si="1"/>
        <v>Fresher</v>
      </c>
      <c r="I40" s="13" t="str">
        <f t="shared" si="2"/>
        <v>30000</v>
      </c>
    </row>
    <row r="41" spans="1:9" x14ac:dyDescent="0.25">
      <c r="A41" s="13">
        <v>38</v>
      </c>
      <c r="B41" s="13">
        <v>29</v>
      </c>
      <c r="C41" s="13" t="str">
        <f t="shared" si="0"/>
        <v>Adult</v>
      </c>
      <c r="D41" s="13" t="s">
        <v>6</v>
      </c>
      <c r="E41" s="13" t="s">
        <v>10</v>
      </c>
      <c r="F41" s="13" t="s">
        <v>43</v>
      </c>
      <c r="G41" s="13">
        <v>3</v>
      </c>
      <c r="H41" s="13" t="str">
        <f t="shared" si="1"/>
        <v>Fresher</v>
      </c>
      <c r="I41" s="13" t="str">
        <f t="shared" si="2"/>
        <v>30000</v>
      </c>
    </row>
    <row r="42" spans="1:9" x14ac:dyDescent="0.25">
      <c r="A42" s="13">
        <v>39</v>
      </c>
      <c r="B42" s="13">
        <v>29</v>
      </c>
      <c r="C42" s="13" t="str">
        <f t="shared" si="0"/>
        <v>Adult</v>
      </c>
      <c r="D42" s="13" t="s">
        <v>9</v>
      </c>
      <c r="E42" s="13" t="s">
        <v>7</v>
      </c>
      <c r="F42" s="13" t="s">
        <v>63</v>
      </c>
      <c r="G42" s="13">
        <v>3</v>
      </c>
      <c r="H42" s="13" t="str">
        <f t="shared" si="1"/>
        <v>Fresher</v>
      </c>
      <c r="I42" s="13" t="str">
        <f t="shared" si="2"/>
        <v>30000</v>
      </c>
    </row>
    <row r="43" spans="1:9" x14ac:dyDescent="0.25">
      <c r="A43" s="13">
        <v>40</v>
      </c>
      <c r="B43" s="13">
        <v>29</v>
      </c>
      <c r="C43" s="13" t="str">
        <f t="shared" si="0"/>
        <v>Adult</v>
      </c>
      <c r="D43" s="13" t="s">
        <v>6</v>
      </c>
      <c r="E43" s="13" t="s">
        <v>7</v>
      </c>
      <c r="F43" s="13" t="s">
        <v>16</v>
      </c>
      <c r="G43" s="13">
        <v>3</v>
      </c>
      <c r="H43" s="13" t="str">
        <f t="shared" si="1"/>
        <v>Fresher</v>
      </c>
      <c r="I43" s="13" t="str">
        <f t="shared" si="2"/>
        <v>30000</v>
      </c>
    </row>
    <row r="44" spans="1:9" x14ac:dyDescent="0.25">
      <c r="A44" s="13">
        <v>41</v>
      </c>
      <c r="B44" s="13">
        <v>29</v>
      </c>
      <c r="C44" s="13" t="str">
        <f t="shared" si="0"/>
        <v>Adult</v>
      </c>
      <c r="D44" s="13" t="s">
        <v>9</v>
      </c>
      <c r="E44" s="13" t="s">
        <v>7</v>
      </c>
      <c r="F44" s="13" t="s">
        <v>84</v>
      </c>
      <c r="G44" s="13">
        <v>2</v>
      </c>
      <c r="H44" s="13" t="str">
        <f t="shared" si="1"/>
        <v>Fresher</v>
      </c>
      <c r="I44" s="13" t="str">
        <f t="shared" si="2"/>
        <v>30000</v>
      </c>
    </row>
    <row r="45" spans="1:9" x14ac:dyDescent="0.25">
      <c r="A45" s="13">
        <v>42</v>
      </c>
      <c r="B45" s="13">
        <v>29</v>
      </c>
      <c r="C45" s="13" t="str">
        <f t="shared" si="0"/>
        <v>Adult</v>
      </c>
      <c r="D45" s="13" t="s">
        <v>9</v>
      </c>
      <c r="E45" s="13" t="s">
        <v>7</v>
      </c>
      <c r="F45" s="13" t="s">
        <v>14</v>
      </c>
      <c r="G45" s="13">
        <v>3</v>
      </c>
      <c r="H45" s="13" t="str">
        <f t="shared" si="1"/>
        <v>Fresher</v>
      </c>
      <c r="I45" s="13" t="str">
        <f t="shared" si="2"/>
        <v>30000</v>
      </c>
    </row>
    <row r="46" spans="1:9" x14ac:dyDescent="0.25">
      <c r="A46" s="13">
        <v>43</v>
      </c>
      <c r="B46" s="13">
        <v>29</v>
      </c>
      <c r="C46" s="13" t="str">
        <f t="shared" si="0"/>
        <v>Adult</v>
      </c>
      <c r="D46" s="13" t="s">
        <v>9</v>
      </c>
      <c r="E46" s="13" t="s">
        <v>7</v>
      </c>
      <c r="F46" s="13" t="s">
        <v>112</v>
      </c>
      <c r="G46" s="13">
        <v>3</v>
      </c>
      <c r="H46" s="13" t="str">
        <f t="shared" si="1"/>
        <v>Fresher</v>
      </c>
      <c r="I46" s="13" t="str">
        <f t="shared" si="2"/>
        <v>30000</v>
      </c>
    </row>
    <row r="47" spans="1:9" x14ac:dyDescent="0.25">
      <c r="A47" s="13">
        <v>44</v>
      </c>
      <c r="B47" s="13">
        <v>29</v>
      </c>
      <c r="C47" s="13" t="str">
        <f t="shared" si="0"/>
        <v>Adult</v>
      </c>
      <c r="D47" s="13" t="s">
        <v>6</v>
      </c>
      <c r="E47" s="13" t="s">
        <v>7</v>
      </c>
      <c r="F47" s="13" t="s">
        <v>118</v>
      </c>
      <c r="G47" s="13">
        <v>3</v>
      </c>
      <c r="H47" s="13" t="str">
        <f t="shared" si="1"/>
        <v>Fresher</v>
      </c>
      <c r="I47" s="13" t="str">
        <f t="shared" si="2"/>
        <v>30000</v>
      </c>
    </row>
    <row r="48" spans="1:9" x14ac:dyDescent="0.25">
      <c r="A48" s="13">
        <v>45</v>
      </c>
      <c r="B48" s="13">
        <v>29</v>
      </c>
      <c r="C48" s="13" t="str">
        <f t="shared" si="0"/>
        <v>Adult</v>
      </c>
      <c r="D48" s="13" t="s">
        <v>9</v>
      </c>
      <c r="E48" s="13" t="s">
        <v>7</v>
      </c>
      <c r="F48" s="13" t="s">
        <v>131</v>
      </c>
      <c r="G48" s="13">
        <v>3</v>
      </c>
      <c r="H48" s="13" t="str">
        <f t="shared" si="1"/>
        <v>Fresher</v>
      </c>
      <c r="I48" s="13" t="str">
        <f t="shared" si="2"/>
        <v>30000</v>
      </c>
    </row>
    <row r="49" spans="1:9" x14ac:dyDescent="0.25">
      <c r="A49" s="13">
        <v>46</v>
      </c>
      <c r="B49" s="13">
        <v>29</v>
      </c>
      <c r="C49" s="13" t="str">
        <f t="shared" si="0"/>
        <v>Adult</v>
      </c>
      <c r="D49" s="13" t="s">
        <v>6</v>
      </c>
      <c r="E49" s="13" t="s">
        <v>7</v>
      </c>
      <c r="F49" s="13" t="s">
        <v>150</v>
      </c>
      <c r="G49" s="13">
        <v>2</v>
      </c>
      <c r="H49" s="13" t="str">
        <f t="shared" si="1"/>
        <v>Fresher</v>
      </c>
      <c r="I49" s="13" t="str">
        <f t="shared" si="2"/>
        <v>30000</v>
      </c>
    </row>
    <row r="50" spans="1:9" x14ac:dyDescent="0.25">
      <c r="A50" s="13">
        <v>47</v>
      </c>
      <c r="B50" s="13">
        <v>29</v>
      </c>
      <c r="C50" s="13" t="str">
        <f t="shared" si="0"/>
        <v>Adult</v>
      </c>
      <c r="D50" s="13" t="s">
        <v>9</v>
      </c>
      <c r="E50" s="13" t="s">
        <v>7</v>
      </c>
      <c r="F50" s="13" t="s">
        <v>121</v>
      </c>
      <c r="G50" s="13">
        <v>2</v>
      </c>
      <c r="H50" s="13" t="str">
        <f t="shared" si="1"/>
        <v>Fresher</v>
      </c>
      <c r="I50" s="13" t="str">
        <f t="shared" si="2"/>
        <v>30000</v>
      </c>
    </row>
    <row r="51" spans="1:9" x14ac:dyDescent="0.25">
      <c r="A51" s="13">
        <v>48</v>
      </c>
      <c r="B51" s="13">
        <v>29</v>
      </c>
      <c r="C51" s="13" t="str">
        <f t="shared" si="0"/>
        <v>Adult</v>
      </c>
      <c r="D51" s="13" t="s">
        <v>6</v>
      </c>
      <c r="E51" s="13" t="s">
        <v>7</v>
      </c>
      <c r="F51" s="13" t="s">
        <v>171</v>
      </c>
      <c r="G51" s="13">
        <v>1.5</v>
      </c>
      <c r="H51" s="13" t="str">
        <f t="shared" si="1"/>
        <v>Fresher</v>
      </c>
      <c r="I51" s="13" t="str">
        <f t="shared" si="2"/>
        <v>30000</v>
      </c>
    </row>
    <row r="52" spans="1:9" x14ac:dyDescent="0.25">
      <c r="A52" s="13">
        <v>49</v>
      </c>
      <c r="B52" s="13">
        <v>29</v>
      </c>
      <c r="C52" s="13" t="str">
        <f t="shared" si="0"/>
        <v>Adult</v>
      </c>
      <c r="D52" s="13" t="s">
        <v>6</v>
      </c>
      <c r="E52" s="13" t="s">
        <v>7</v>
      </c>
      <c r="F52" s="13" t="s">
        <v>125</v>
      </c>
      <c r="G52" s="13">
        <v>1.5</v>
      </c>
      <c r="H52" s="13" t="str">
        <f t="shared" si="1"/>
        <v>Fresher</v>
      </c>
      <c r="I52" s="13" t="str">
        <f t="shared" si="2"/>
        <v>30000</v>
      </c>
    </row>
    <row r="53" spans="1:9" x14ac:dyDescent="0.25">
      <c r="A53" s="13">
        <v>50</v>
      </c>
      <c r="B53" s="13">
        <v>29</v>
      </c>
      <c r="C53" s="13" t="str">
        <f t="shared" si="0"/>
        <v>Adult</v>
      </c>
      <c r="D53" s="13" t="s">
        <v>6</v>
      </c>
      <c r="E53" s="13" t="s">
        <v>7</v>
      </c>
      <c r="F53" s="13" t="s">
        <v>171</v>
      </c>
      <c r="G53" s="13">
        <v>1.5</v>
      </c>
      <c r="H53" s="13" t="str">
        <f t="shared" si="1"/>
        <v>Fresher</v>
      </c>
      <c r="I53" s="13" t="str">
        <f t="shared" si="2"/>
        <v>30000</v>
      </c>
    </row>
    <row r="54" spans="1:9" x14ac:dyDescent="0.25">
      <c r="A54" s="13">
        <v>51</v>
      </c>
      <c r="B54" s="13">
        <v>29</v>
      </c>
      <c r="C54" s="13" t="str">
        <f t="shared" si="0"/>
        <v>Adult</v>
      </c>
      <c r="D54" s="13" t="s">
        <v>9</v>
      </c>
      <c r="E54" s="13" t="s">
        <v>7</v>
      </c>
      <c r="F54" s="13" t="s">
        <v>121</v>
      </c>
      <c r="G54" s="13">
        <v>1.5</v>
      </c>
      <c r="H54" s="13" t="str">
        <f t="shared" si="1"/>
        <v>Fresher</v>
      </c>
      <c r="I54" s="13" t="str">
        <f t="shared" si="2"/>
        <v>30000</v>
      </c>
    </row>
    <row r="55" spans="1:9" x14ac:dyDescent="0.25">
      <c r="A55" s="13">
        <v>52</v>
      </c>
      <c r="B55" s="13">
        <v>29</v>
      </c>
      <c r="C55" s="13" t="str">
        <f t="shared" si="0"/>
        <v>Adult</v>
      </c>
      <c r="D55" s="13" t="s">
        <v>9</v>
      </c>
      <c r="E55" s="13" t="s">
        <v>7</v>
      </c>
      <c r="F55" s="13" t="s">
        <v>145</v>
      </c>
      <c r="G55" s="13">
        <v>1.5</v>
      </c>
      <c r="H55" s="13" t="str">
        <f t="shared" si="1"/>
        <v>Fresher</v>
      </c>
      <c r="I55" s="13" t="str">
        <f t="shared" si="2"/>
        <v>30000</v>
      </c>
    </row>
    <row r="56" spans="1:9" x14ac:dyDescent="0.25">
      <c r="A56" s="13">
        <v>53</v>
      </c>
      <c r="B56" s="13">
        <v>29</v>
      </c>
      <c r="C56" s="13" t="str">
        <f t="shared" si="0"/>
        <v>Adult</v>
      </c>
      <c r="D56" s="13" t="s">
        <v>9</v>
      </c>
      <c r="E56" s="13" t="s">
        <v>7</v>
      </c>
      <c r="F56" s="13" t="s">
        <v>127</v>
      </c>
      <c r="G56" s="13">
        <v>2</v>
      </c>
      <c r="H56" s="13" t="str">
        <f t="shared" si="1"/>
        <v>Fresher</v>
      </c>
      <c r="I56" s="13" t="str">
        <f t="shared" si="2"/>
        <v>30000</v>
      </c>
    </row>
    <row r="57" spans="1:9" x14ac:dyDescent="0.25">
      <c r="A57" s="13">
        <v>54</v>
      </c>
      <c r="B57" s="13">
        <v>29</v>
      </c>
      <c r="C57" s="13" t="str">
        <f t="shared" si="0"/>
        <v>Adult</v>
      </c>
      <c r="D57" s="13" t="s">
        <v>9</v>
      </c>
      <c r="E57" s="13" t="s">
        <v>7</v>
      </c>
      <c r="F57" s="13" t="s">
        <v>145</v>
      </c>
      <c r="G57" s="13">
        <v>1.5</v>
      </c>
      <c r="H57" s="13" t="str">
        <f t="shared" si="1"/>
        <v>Fresher</v>
      </c>
      <c r="I57" s="13" t="str">
        <f t="shared" si="2"/>
        <v>30000</v>
      </c>
    </row>
    <row r="58" spans="1:9" x14ac:dyDescent="0.25">
      <c r="A58" s="13">
        <v>55</v>
      </c>
      <c r="B58" s="13">
        <v>29</v>
      </c>
      <c r="C58" s="13" t="str">
        <f t="shared" si="0"/>
        <v>Adult</v>
      </c>
      <c r="D58" s="13" t="s">
        <v>9</v>
      </c>
      <c r="E58" s="13" t="s">
        <v>7</v>
      </c>
      <c r="F58" s="13" t="s">
        <v>109</v>
      </c>
      <c r="G58" s="13">
        <v>2</v>
      </c>
      <c r="H58" s="13" t="str">
        <f t="shared" si="1"/>
        <v>Fresher</v>
      </c>
      <c r="I58" s="13" t="str">
        <f t="shared" si="2"/>
        <v>30000</v>
      </c>
    </row>
    <row r="59" spans="1:9" x14ac:dyDescent="0.25">
      <c r="A59" s="13">
        <v>56</v>
      </c>
      <c r="B59" s="13">
        <v>29</v>
      </c>
      <c r="C59" s="13" t="str">
        <f t="shared" si="0"/>
        <v>Adult</v>
      </c>
      <c r="D59" s="13" t="s">
        <v>9</v>
      </c>
      <c r="E59" s="13" t="s">
        <v>7</v>
      </c>
      <c r="F59" s="13" t="s">
        <v>128</v>
      </c>
      <c r="G59" s="13">
        <v>2</v>
      </c>
      <c r="H59" s="13" t="str">
        <f t="shared" si="1"/>
        <v>Fresher</v>
      </c>
      <c r="I59" s="13" t="str">
        <f t="shared" si="2"/>
        <v>30000</v>
      </c>
    </row>
    <row r="60" spans="1:9" x14ac:dyDescent="0.25">
      <c r="A60" s="13">
        <v>57</v>
      </c>
      <c r="B60" s="13">
        <v>29</v>
      </c>
      <c r="C60" s="13" t="str">
        <f t="shared" si="0"/>
        <v>Adult</v>
      </c>
      <c r="D60" s="13" t="s">
        <v>9</v>
      </c>
      <c r="E60" s="13" t="s">
        <v>7</v>
      </c>
      <c r="F60" s="13" t="s">
        <v>128</v>
      </c>
      <c r="G60" s="13">
        <v>2</v>
      </c>
      <c r="H60" s="13" t="str">
        <f t="shared" si="1"/>
        <v>Fresher</v>
      </c>
      <c r="I60" s="13" t="str">
        <f t="shared" si="2"/>
        <v>30000</v>
      </c>
    </row>
    <row r="61" spans="1:9" x14ac:dyDescent="0.25">
      <c r="A61" s="13">
        <v>58</v>
      </c>
      <c r="B61" s="13">
        <v>29</v>
      </c>
      <c r="C61" s="13" t="str">
        <f t="shared" si="0"/>
        <v>Adult</v>
      </c>
      <c r="D61" s="13" t="s">
        <v>9</v>
      </c>
      <c r="E61" s="13" t="s">
        <v>7</v>
      </c>
      <c r="F61" s="13" t="s">
        <v>128</v>
      </c>
      <c r="G61" s="13">
        <v>2</v>
      </c>
      <c r="H61" s="13" t="str">
        <f t="shared" si="1"/>
        <v>Fresher</v>
      </c>
      <c r="I61" s="13" t="str">
        <f t="shared" si="2"/>
        <v>30000</v>
      </c>
    </row>
    <row r="62" spans="1:9" x14ac:dyDescent="0.25">
      <c r="A62" s="13">
        <v>59</v>
      </c>
      <c r="B62" s="13">
        <v>30</v>
      </c>
      <c r="C62" s="13" t="str">
        <f t="shared" si="0"/>
        <v>Adult</v>
      </c>
      <c r="D62" s="13" t="s">
        <v>6</v>
      </c>
      <c r="E62" s="13" t="s">
        <v>7</v>
      </c>
      <c r="F62" s="13" t="s">
        <v>33</v>
      </c>
      <c r="G62" s="13">
        <v>2</v>
      </c>
      <c r="H62" s="13" t="str">
        <f t="shared" si="1"/>
        <v>Fresher</v>
      </c>
      <c r="I62" s="13" t="str">
        <f t="shared" si="2"/>
        <v>30000</v>
      </c>
    </row>
    <row r="63" spans="1:9" x14ac:dyDescent="0.25">
      <c r="A63" s="13">
        <v>60</v>
      </c>
      <c r="B63" s="13">
        <v>30</v>
      </c>
      <c r="C63" s="13" t="str">
        <f t="shared" si="0"/>
        <v>Adult</v>
      </c>
      <c r="D63" s="13" t="s">
        <v>6</v>
      </c>
      <c r="E63" s="13" t="s">
        <v>7</v>
      </c>
      <c r="F63" s="13" t="s">
        <v>52</v>
      </c>
      <c r="G63" s="13">
        <v>3</v>
      </c>
      <c r="H63" s="13" t="str">
        <f t="shared" si="1"/>
        <v>Fresher</v>
      </c>
      <c r="I63" s="13" t="str">
        <f t="shared" si="2"/>
        <v>30000</v>
      </c>
    </row>
    <row r="64" spans="1:9" x14ac:dyDescent="0.25">
      <c r="A64" s="13">
        <v>61</v>
      </c>
      <c r="B64" s="13">
        <v>30</v>
      </c>
      <c r="C64" s="13" t="str">
        <f t="shared" si="0"/>
        <v>Adult</v>
      </c>
      <c r="D64" s="13" t="s">
        <v>9</v>
      </c>
      <c r="E64" s="13" t="s">
        <v>7</v>
      </c>
      <c r="F64" s="13" t="s">
        <v>65</v>
      </c>
      <c r="G64" s="13">
        <v>4</v>
      </c>
      <c r="H64" s="13" t="str">
        <f t="shared" si="1"/>
        <v>Experienced</v>
      </c>
      <c r="I64" s="13" t="str">
        <f t="shared" si="2"/>
        <v>60000</v>
      </c>
    </row>
    <row r="65" spans="1:9" x14ac:dyDescent="0.25">
      <c r="A65" s="13">
        <v>62</v>
      </c>
      <c r="B65" s="13">
        <v>30</v>
      </c>
      <c r="C65" s="13" t="str">
        <f t="shared" si="0"/>
        <v>Adult</v>
      </c>
      <c r="D65" s="13" t="s">
        <v>9</v>
      </c>
      <c r="E65" s="13" t="s">
        <v>7</v>
      </c>
      <c r="F65" s="13" t="s">
        <v>80</v>
      </c>
      <c r="G65" s="13">
        <v>3</v>
      </c>
      <c r="H65" s="13" t="str">
        <f t="shared" si="1"/>
        <v>Fresher</v>
      </c>
      <c r="I65" s="13" t="str">
        <f t="shared" si="2"/>
        <v>30000</v>
      </c>
    </row>
    <row r="66" spans="1:9" x14ac:dyDescent="0.25">
      <c r="A66" s="13">
        <v>63</v>
      </c>
      <c r="B66" s="13">
        <v>30</v>
      </c>
      <c r="C66" s="13" t="str">
        <f t="shared" si="0"/>
        <v>Adult</v>
      </c>
      <c r="D66" s="13" t="s">
        <v>9</v>
      </c>
      <c r="E66" s="13" t="s">
        <v>7</v>
      </c>
      <c r="F66" s="13" t="s">
        <v>101</v>
      </c>
      <c r="G66" s="13">
        <v>3</v>
      </c>
      <c r="H66" s="13" t="str">
        <f t="shared" si="1"/>
        <v>Fresher</v>
      </c>
      <c r="I66" s="13" t="str">
        <f t="shared" si="2"/>
        <v>30000</v>
      </c>
    </row>
    <row r="67" spans="1:9" x14ac:dyDescent="0.25">
      <c r="A67" s="13">
        <v>64</v>
      </c>
      <c r="B67" s="13">
        <v>30</v>
      </c>
      <c r="C67" s="13" t="str">
        <f t="shared" si="0"/>
        <v>Adult</v>
      </c>
      <c r="D67" s="13" t="s">
        <v>9</v>
      </c>
      <c r="E67" s="13" t="s">
        <v>7</v>
      </c>
      <c r="F67" s="13" t="s">
        <v>122</v>
      </c>
      <c r="G67" s="13">
        <v>4</v>
      </c>
      <c r="H67" s="13" t="str">
        <f t="shared" si="1"/>
        <v>Experienced</v>
      </c>
      <c r="I67" s="13" t="str">
        <f t="shared" si="2"/>
        <v>60000</v>
      </c>
    </row>
    <row r="68" spans="1:9" x14ac:dyDescent="0.25">
      <c r="A68" s="13">
        <v>65</v>
      </c>
      <c r="B68" s="13">
        <v>30</v>
      </c>
      <c r="C68" s="13" t="str">
        <f t="shared" ref="C68:C131" si="3">IF(B68&gt;=50,"Senior",IF(B68&gt;=25,"Adult","Teenager"))</f>
        <v>Adult</v>
      </c>
      <c r="D68" s="13" t="s">
        <v>9</v>
      </c>
      <c r="E68" s="13" t="s">
        <v>7</v>
      </c>
      <c r="F68" s="13" t="s">
        <v>142</v>
      </c>
      <c r="G68" s="13">
        <v>3</v>
      </c>
      <c r="H68" s="13" t="str">
        <f t="shared" si="1"/>
        <v>Fresher</v>
      </c>
      <c r="I68" s="13" t="str">
        <f t="shared" si="2"/>
        <v>30000</v>
      </c>
    </row>
    <row r="69" spans="1:9" x14ac:dyDescent="0.25">
      <c r="A69" s="13">
        <v>66</v>
      </c>
      <c r="B69" s="13">
        <v>30</v>
      </c>
      <c r="C69" s="13" t="str">
        <f t="shared" si="3"/>
        <v>Adult</v>
      </c>
      <c r="D69" s="13" t="s">
        <v>9</v>
      </c>
      <c r="E69" s="13" t="s">
        <v>7</v>
      </c>
      <c r="F69" s="13" t="s">
        <v>162</v>
      </c>
      <c r="G69" s="13">
        <v>3</v>
      </c>
      <c r="H69" s="13" t="str">
        <f t="shared" ref="H69:H132" si="4">IF(G69&gt;=4,"Experienced",IF(G69&lt;=3,"Fresher"))</f>
        <v>Fresher</v>
      </c>
      <c r="I69" s="13" t="str">
        <f t="shared" ref="I69:I132" si="5">IF(G69&lt;=1,"20000",IF(G69&lt;=3,"30000",IF(G69&lt;=10,"60000",IF(G69&lt;=15,"100000",IF(G69&lt;=20,"150000",IF(G69&lt;=25,"200000"))))))</f>
        <v>30000</v>
      </c>
    </row>
    <row r="70" spans="1:9" x14ac:dyDescent="0.25">
      <c r="A70" s="13">
        <v>67</v>
      </c>
      <c r="B70" s="13">
        <v>30</v>
      </c>
      <c r="C70" s="13" t="str">
        <f t="shared" si="3"/>
        <v>Adult</v>
      </c>
      <c r="D70" s="13" t="s">
        <v>6</v>
      </c>
      <c r="E70" s="13" t="s">
        <v>7</v>
      </c>
      <c r="F70" s="13" t="s">
        <v>166</v>
      </c>
      <c r="G70" s="13">
        <v>3</v>
      </c>
      <c r="H70" s="13" t="str">
        <f t="shared" si="4"/>
        <v>Fresher</v>
      </c>
      <c r="I70" s="13" t="str">
        <f t="shared" si="5"/>
        <v>30000</v>
      </c>
    </row>
    <row r="71" spans="1:9" x14ac:dyDescent="0.25">
      <c r="A71" s="13">
        <v>68</v>
      </c>
      <c r="B71" s="13">
        <v>30</v>
      </c>
      <c r="C71" s="13" t="str">
        <f t="shared" si="3"/>
        <v>Adult</v>
      </c>
      <c r="D71" s="13" t="s">
        <v>9</v>
      </c>
      <c r="E71" s="13" t="s">
        <v>7</v>
      </c>
      <c r="F71" s="13" t="s">
        <v>150</v>
      </c>
      <c r="G71" s="13">
        <v>2</v>
      </c>
      <c r="H71" s="13" t="str">
        <f t="shared" si="4"/>
        <v>Fresher</v>
      </c>
      <c r="I71" s="13" t="str">
        <f t="shared" si="5"/>
        <v>30000</v>
      </c>
    </row>
    <row r="72" spans="1:9" x14ac:dyDescent="0.25">
      <c r="A72" s="13">
        <v>69</v>
      </c>
      <c r="B72" s="13">
        <v>30</v>
      </c>
      <c r="C72" s="13" t="str">
        <f t="shared" si="3"/>
        <v>Adult</v>
      </c>
      <c r="D72" s="13" t="s">
        <v>6</v>
      </c>
      <c r="E72" s="13" t="s">
        <v>7</v>
      </c>
      <c r="F72" s="13" t="s">
        <v>127</v>
      </c>
      <c r="G72" s="13">
        <v>3</v>
      </c>
      <c r="H72" s="13" t="str">
        <f t="shared" si="4"/>
        <v>Fresher</v>
      </c>
      <c r="I72" s="13" t="str">
        <f t="shared" si="5"/>
        <v>30000</v>
      </c>
    </row>
    <row r="73" spans="1:9" x14ac:dyDescent="0.25">
      <c r="A73" s="13">
        <v>70</v>
      </c>
      <c r="B73" s="13">
        <v>30</v>
      </c>
      <c r="C73" s="13" t="str">
        <f t="shared" si="3"/>
        <v>Adult</v>
      </c>
      <c r="D73" s="13" t="s">
        <v>9</v>
      </c>
      <c r="E73" s="13" t="s">
        <v>7</v>
      </c>
      <c r="F73" s="13" t="s">
        <v>150</v>
      </c>
      <c r="G73" s="13">
        <v>2</v>
      </c>
      <c r="H73" s="13" t="str">
        <f t="shared" si="4"/>
        <v>Fresher</v>
      </c>
      <c r="I73" s="13" t="str">
        <f t="shared" si="5"/>
        <v>30000</v>
      </c>
    </row>
    <row r="74" spans="1:9" x14ac:dyDescent="0.25">
      <c r="A74" s="13">
        <v>71</v>
      </c>
      <c r="B74" s="13">
        <v>30</v>
      </c>
      <c r="C74" s="13" t="str">
        <f t="shared" si="3"/>
        <v>Adult</v>
      </c>
      <c r="D74" s="13" t="s">
        <v>6</v>
      </c>
      <c r="E74" s="13" t="s">
        <v>7</v>
      </c>
      <c r="F74" s="13" t="s">
        <v>125</v>
      </c>
      <c r="G74" s="13">
        <v>2</v>
      </c>
      <c r="H74" s="13" t="str">
        <f t="shared" si="4"/>
        <v>Fresher</v>
      </c>
      <c r="I74" s="13" t="str">
        <f t="shared" si="5"/>
        <v>30000</v>
      </c>
    </row>
    <row r="75" spans="1:9" x14ac:dyDescent="0.25">
      <c r="A75" s="13">
        <v>72</v>
      </c>
      <c r="B75" s="13">
        <v>30</v>
      </c>
      <c r="C75" s="13" t="str">
        <f t="shared" si="3"/>
        <v>Adult</v>
      </c>
      <c r="D75" s="13" t="s">
        <v>9</v>
      </c>
      <c r="E75" s="13" t="s">
        <v>7</v>
      </c>
      <c r="F75" s="13" t="s">
        <v>180</v>
      </c>
      <c r="G75" s="13">
        <v>2</v>
      </c>
      <c r="H75" s="13" t="str">
        <f t="shared" si="4"/>
        <v>Fresher</v>
      </c>
      <c r="I75" s="13" t="str">
        <f t="shared" si="5"/>
        <v>30000</v>
      </c>
    </row>
    <row r="76" spans="1:9" x14ac:dyDescent="0.25">
      <c r="A76" s="13">
        <v>73</v>
      </c>
      <c r="B76" s="13">
        <v>30</v>
      </c>
      <c r="C76" s="13" t="str">
        <f t="shared" si="3"/>
        <v>Adult</v>
      </c>
      <c r="D76" s="13" t="s">
        <v>9</v>
      </c>
      <c r="E76" s="13" t="s">
        <v>7</v>
      </c>
      <c r="F76" s="13" t="s">
        <v>148</v>
      </c>
      <c r="G76" s="13">
        <v>2</v>
      </c>
      <c r="H76" s="13" t="str">
        <f t="shared" si="4"/>
        <v>Fresher</v>
      </c>
      <c r="I76" s="13" t="str">
        <f t="shared" si="5"/>
        <v>30000</v>
      </c>
    </row>
    <row r="77" spans="1:9" x14ac:dyDescent="0.25">
      <c r="A77" s="13">
        <v>74</v>
      </c>
      <c r="B77" s="13">
        <v>31</v>
      </c>
      <c r="C77" s="13" t="str">
        <f t="shared" si="3"/>
        <v>Adult</v>
      </c>
      <c r="D77" s="13" t="s">
        <v>6</v>
      </c>
      <c r="E77" s="13" t="s">
        <v>7</v>
      </c>
      <c r="F77" s="13" t="s">
        <v>18</v>
      </c>
      <c r="G77" s="13">
        <v>4</v>
      </c>
      <c r="H77" s="13" t="str">
        <f t="shared" si="4"/>
        <v>Experienced</v>
      </c>
      <c r="I77" s="13" t="str">
        <f t="shared" si="5"/>
        <v>60000</v>
      </c>
    </row>
    <row r="78" spans="1:9" x14ac:dyDescent="0.25">
      <c r="A78" s="13">
        <v>75</v>
      </c>
      <c r="B78" s="13">
        <v>31</v>
      </c>
      <c r="C78" s="13" t="str">
        <f t="shared" si="3"/>
        <v>Adult</v>
      </c>
      <c r="D78" s="13" t="s">
        <v>9</v>
      </c>
      <c r="E78" s="13" t="s">
        <v>7</v>
      </c>
      <c r="F78" s="13" t="s">
        <v>42</v>
      </c>
      <c r="G78" s="13">
        <v>4</v>
      </c>
      <c r="H78" s="13" t="str">
        <f t="shared" si="4"/>
        <v>Experienced</v>
      </c>
      <c r="I78" s="13" t="str">
        <f t="shared" si="5"/>
        <v>60000</v>
      </c>
    </row>
    <row r="79" spans="1:9" x14ac:dyDescent="0.25">
      <c r="A79" s="13">
        <v>76</v>
      </c>
      <c r="B79" s="13">
        <v>31</v>
      </c>
      <c r="C79" s="13" t="str">
        <f t="shared" si="3"/>
        <v>Adult</v>
      </c>
      <c r="D79" s="13" t="s">
        <v>9</v>
      </c>
      <c r="E79" s="13" t="s">
        <v>7</v>
      </c>
      <c r="F79" s="13" t="s">
        <v>71</v>
      </c>
      <c r="G79" s="13">
        <v>5</v>
      </c>
      <c r="H79" s="13" t="str">
        <f t="shared" si="4"/>
        <v>Experienced</v>
      </c>
      <c r="I79" s="13" t="str">
        <f t="shared" si="5"/>
        <v>60000</v>
      </c>
    </row>
    <row r="80" spans="1:9" x14ac:dyDescent="0.25">
      <c r="A80" s="13">
        <v>77</v>
      </c>
      <c r="B80" s="13">
        <v>31</v>
      </c>
      <c r="C80" s="13" t="str">
        <f t="shared" si="3"/>
        <v>Adult</v>
      </c>
      <c r="D80" s="13" t="s">
        <v>9</v>
      </c>
      <c r="E80" s="13" t="s">
        <v>7</v>
      </c>
      <c r="F80" s="13" t="s">
        <v>19</v>
      </c>
      <c r="G80" s="13">
        <v>6</v>
      </c>
      <c r="H80" s="13" t="str">
        <f t="shared" si="4"/>
        <v>Experienced</v>
      </c>
      <c r="I80" s="13" t="str">
        <f t="shared" si="5"/>
        <v>60000</v>
      </c>
    </row>
    <row r="81" spans="1:9" x14ac:dyDescent="0.25">
      <c r="A81" s="13">
        <v>78</v>
      </c>
      <c r="B81" s="13">
        <v>31</v>
      </c>
      <c r="C81" s="13" t="str">
        <f t="shared" si="3"/>
        <v>Adult</v>
      </c>
      <c r="D81" s="13" t="s">
        <v>9</v>
      </c>
      <c r="E81" s="13" t="s">
        <v>7</v>
      </c>
      <c r="F81" s="13" t="s">
        <v>61</v>
      </c>
      <c r="G81" s="13">
        <v>5</v>
      </c>
      <c r="H81" s="13" t="str">
        <f t="shared" si="4"/>
        <v>Experienced</v>
      </c>
      <c r="I81" s="13" t="str">
        <f t="shared" si="5"/>
        <v>60000</v>
      </c>
    </row>
    <row r="82" spans="1:9" x14ac:dyDescent="0.25">
      <c r="A82" s="13">
        <v>79</v>
      </c>
      <c r="B82" s="13">
        <v>31</v>
      </c>
      <c r="C82" s="13" t="str">
        <f t="shared" si="3"/>
        <v>Adult</v>
      </c>
      <c r="D82" s="13" t="s">
        <v>6</v>
      </c>
      <c r="E82" s="13" t="s">
        <v>10</v>
      </c>
      <c r="F82" s="13" t="s">
        <v>73</v>
      </c>
      <c r="G82" s="13">
        <v>6</v>
      </c>
      <c r="H82" s="13" t="str">
        <f t="shared" si="4"/>
        <v>Experienced</v>
      </c>
      <c r="I82" s="13" t="str">
        <f t="shared" si="5"/>
        <v>60000</v>
      </c>
    </row>
    <row r="83" spans="1:9" x14ac:dyDescent="0.25">
      <c r="A83" s="13">
        <v>80</v>
      </c>
      <c r="B83" s="13">
        <v>31</v>
      </c>
      <c r="C83" s="13" t="str">
        <f t="shared" si="3"/>
        <v>Adult</v>
      </c>
      <c r="D83" s="13" t="s">
        <v>6</v>
      </c>
      <c r="E83" s="13" t="s">
        <v>7</v>
      </c>
      <c r="F83" s="13" t="s">
        <v>128</v>
      </c>
      <c r="G83" s="13">
        <v>4</v>
      </c>
      <c r="H83" s="13" t="str">
        <f t="shared" si="4"/>
        <v>Experienced</v>
      </c>
      <c r="I83" s="13" t="str">
        <f t="shared" si="5"/>
        <v>60000</v>
      </c>
    </row>
    <row r="84" spans="1:9" x14ac:dyDescent="0.25">
      <c r="A84" s="13">
        <v>81</v>
      </c>
      <c r="B84" s="13">
        <v>31</v>
      </c>
      <c r="C84" s="13" t="str">
        <f t="shared" si="3"/>
        <v>Adult</v>
      </c>
      <c r="D84" s="13" t="s">
        <v>9</v>
      </c>
      <c r="E84" s="13" t="s">
        <v>7</v>
      </c>
      <c r="F84" s="13" t="s">
        <v>148</v>
      </c>
      <c r="G84" s="13">
        <v>4</v>
      </c>
      <c r="H84" s="13" t="str">
        <f t="shared" si="4"/>
        <v>Experienced</v>
      </c>
      <c r="I84" s="13" t="str">
        <f t="shared" si="5"/>
        <v>60000</v>
      </c>
    </row>
    <row r="85" spans="1:9" x14ac:dyDescent="0.25">
      <c r="A85" s="13">
        <v>82</v>
      </c>
      <c r="B85" s="13">
        <v>31</v>
      </c>
      <c r="C85" s="13" t="str">
        <f t="shared" si="3"/>
        <v>Adult</v>
      </c>
      <c r="D85" s="13" t="s">
        <v>6</v>
      </c>
      <c r="E85" s="13" t="s">
        <v>7</v>
      </c>
      <c r="F85" s="13" t="s">
        <v>68</v>
      </c>
      <c r="G85" s="13">
        <v>4</v>
      </c>
      <c r="H85" s="13" t="str">
        <f t="shared" si="4"/>
        <v>Experienced</v>
      </c>
      <c r="I85" s="13" t="str">
        <f t="shared" si="5"/>
        <v>60000</v>
      </c>
    </row>
    <row r="86" spans="1:9" x14ac:dyDescent="0.25">
      <c r="A86" s="13">
        <v>83</v>
      </c>
      <c r="B86" s="13">
        <v>31</v>
      </c>
      <c r="C86" s="13" t="str">
        <f t="shared" si="3"/>
        <v>Adult</v>
      </c>
      <c r="D86" s="13" t="s">
        <v>6</v>
      </c>
      <c r="E86" s="13" t="s">
        <v>7</v>
      </c>
      <c r="F86" s="13" t="s">
        <v>112</v>
      </c>
      <c r="G86" s="13">
        <v>4</v>
      </c>
      <c r="H86" s="13" t="str">
        <f t="shared" si="4"/>
        <v>Experienced</v>
      </c>
      <c r="I86" s="13" t="str">
        <f t="shared" si="5"/>
        <v>60000</v>
      </c>
    </row>
    <row r="87" spans="1:9" x14ac:dyDescent="0.25">
      <c r="A87" s="13">
        <v>84</v>
      </c>
      <c r="B87" s="13">
        <v>31</v>
      </c>
      <c r="C87" s="13" t="str">
        <f t="shared" si="3"/>
        <v>Adult</v>
      </c>
      <c r="D87" s="13" t="s">
        <v>9</v>
      </c>
      <c r="E87" s="13" t="s">
        <v>7</v>
      </c>
      <c r="F87" s="13" t="s">
        <v>172</v>
      </c>
      <c r="G87" s="13">
        <v>3</v>
      </c>
      <c r="H87" s="13" t="str">
        <f t="shared" si="4"/>
        <v>Fresher</v>
      </c>
      <c r="I87" s="13" t="str">
        <f t="shared" si="5"/>
        <v>30000</v>
      </c>
    </row>
    <row r="88" spans="1:9" x14ac:dyDescent="0.25">
      <c r="A88" s="13">
        <v>85</v>
      </c>
      <c r="B88" s="13">
        <v>31</v>
      </c>
      <c r="C88" s="13" t="str">
        <f t="shared" si="3"/>
        <v>Adult</v>
      </c>
      <c r="D88" s="13" t="s">
        <v>6</v>
      </c>
      <c r="E88" s="13" t="s">
        <v>7</v>
      </c>
      <c r="F88" s="13" t="s">
        <v>136</v>
      </c>
      <c r="G88" s="13">
        <v>3</v>
      </c>
      <c r="H88" s="13" t="str">
        <f t="shared" si="4"/>
        <v>Fresher</v>
      </c>
      <c r="I88" s="13" t="str">
        <f t="shared" si="5"/>
        <v>30000</v>
      </c>
    </row>
    <row r="89" spans="1:9" x14ac:dyDescent="0.25">
      <c r="A89" s="13">
        <v>86</v>
      </c>
      <c r="B89" s="13">
        <v>31</v>
      </c>
      <c r="C89" s="13" t="str">
        <f t="shared" si="3"/>
        <v>Adult</v>
      </c>
      <c r="D89" s="13" t="s">
        <v>9</v>
      </c>
      <c r="E89" s="13" t="s">
        <v>7</v>
      </c>
      <c r="F89" s="13" t="s">
        <v>150</v>
      </c>
      <c r="G89" s="13">
        <v>3</v>
      </c>
      <c r="H89" s="13" t="str">
        <f t="shared" si="4"/>
        <v>Fresher</v>
      </c>
      <c r="I89" s="13" t="str">
        <f t="shared" si="5"/>
        <v>30000</v>
      </c>
    </row>
    <row r="90" spans="1:9" x14ac:dyDescent="0.25">
      <c r="A90" s="13">
        <v>87</v>
      </c>
      <c r="B90" s="13">
        <v>31</v>
      </c>
      <c r="C90" s="13" t="str">
        <f t="shared" si="3"/>
        <v>Adult</v>
      </c>
      <c r="D90" s="13" t="s">
        <v>6</v>
      </c>
      <c r="E90" s="13" t="s">
        <v>7</v>
      </c>
      <c r="F90" s="13" t="s">
        <v>114</v>
      </c>
      <c r="G90" s="13">
        <v>3</v>
      </c>
      <c r="H90" s="13" t="str">
        <f t="shared" si="4"/>
        <v>Fresher</v>
      </c>
      <c r="I90" s="13" t="str">
        <f t="shared" si="5"/>
        <v>30000</v>
      </c>
    </row>
    <row r="91" spans="1:9" x14ac:dyDescent="0.25">
      <c r="A91" s="13">
        <v>88</v>
      </c>
      <c r="B91" s="13">
        <v>31</v>
      </c>
      <c r="C91" s="13" t="str">
        <f t="shared" si="3"/>
        <v>Adult</v>
      </c>
      <c r="D91" s="13" t="s">
        <v>6</v>
      </c>
      <c r="E91" s="13" t="s">
        <v>7</v>
      </c>
      <c r="F91" s="13" t="s">
        <v>128</v>
      </c>
      <c r="G91" s="13">
        <v>3</v>
      </c>
      <c r="H91" s="13" t="str">
        <f t="shared" si="4"/>
        <v>Fresher</v>
      </c>
      <c r="I91" s="13" t="str">
        <f t="shared" si="5"/>
        <v>30000</v>
      </c>
    </row>
    <row r="92" spans="1:9" x14ac:dyDescent="0.25">
      <c r="A92" s="13">
        <v>89</v>
      </c>
      <c r="B92" s="13">
        <v>31</v>
      </c>
      <c r="C92" s="13" t="str">
        <f t="shared" si="3"/>
        <v>Adult</v>
      </c>
      <c r="D92" s="13" t="s">
        <v>6</v>
      </c>
      <c r="E92" s="13" t="s">
        <v>7</v>
      </c>
      <c r="F92" s="13" t="s">
        <v>114</v>
      </c>
      <c r="G92" s="13">
        <v>3</v>
      </c>
      <c r="H92" s="13" t="str">
        <f t="shared" si="4"/>
        <v>Fresher</v>
      </c>
      <c r="I92" s="13" t="str">
        <f t="shared" si="5"/>
        <v>30000</v>
      </c>
    </row>
    <row r="93" spans="1:9" x14ac:dyDescent="0.25">
      <c r="A93" s="13">
        <v>90</v>
      </c>
      <c r="B93" s="13">
        <v>31</v>
      </c>
      <c r="C93" s="13" t="str">
        <f t="shared" si="3"/>
        <v>Adult</v>
      </c>
      <c r="D93" s="13" t="s">
        <v>9</v>
      </c>
      <c r="E93" s="13" t="s">
        <v>7</v>
      </c>
      <c r="F93" s="13" t="s">
        <v>145</v>
      </c>
      <c r="G93" s="13">
        <v>3</v>
      </c>
      <c r="H93" s="13" t="str">
        <f t="shared" si="4"/>
        <v>Fresher</v>
      </c>
      <c r="I93" s="13" t="str">
        <f t="shared" si="5"/>
        <v>30000</v>
      </c>
    </row>
    <row r="94" spans="1:9" x14ac:dyDescent="0.25">
      <c r="A94" s="13">
        <v>91</v>
      </c>
      <c r="B94" s="13">
        <v>31</v>
      </c>
      <c r="C94" s="13" t="str">
        <f t="shared" si="3"/>
        <v>Adult</v>
      </c>
      <c r="D94" s="13" t="s">
        <v>9</v>
      </c>
      <c r="E94" s="13" t="s">
        <v>7</v>
      </c>
      <c r="F94" s="13" t="s">
        <v>136</v>
      </c>
      <c r="G94" s="13">
        <v>3</v>
      </c>
      <c r="H94" s="13" t="str">
        <f t="shared" si="4"/>
        <v>Fresher</v>
      </c>
      <c r="I94" s="13" t="str">
        <f t="shared" si="5"/>
        <v>30000</v>
      </c>
    </row>
    <row r="95" spans="1:9" x14ac:dyDescent="0.25">
      <c r="A95" s="13">
        <v>92</v>
      </c>
      <c r="B95" s="13">
        <v>31</v>
      </c>
      <c r="C95" s="13" t="str">
        <f t="shared" si="3"/>
        <v>Adult</v>
      </c>
      <c r="D95" s="13" t="s">
        <v>6</v>
      </c>
      <c r="E95" s="13" t="s">
        <v>7</v>
      </c>
      <c r="F95" s="13" t="s">
        <v>150</v>
      </c>
      <c r="G95" s="13">
        <v>3</v>
      </c>
      <c r="H95" s="13" t="str">
        <f t="shared" si="4"/>
        <v>Fresher</v>
      </c>
      <c r="I95" s="13" t="str">
        <f t="shared" si="5"/>
        <v>30000</v>
      </c>
    </row>
    <row r="96" spans="1:9" x14ac:dyDescent="0.25">
      <c r="A96" s="13">
        <v>93</v>
      </c>
      <c r="B96" s="13">
        <v>31</v>
      </c>
      <c r="C96" s="13" t="str">
        <f t="shared" si="3"/>
        <v>Adult</v>
      </c>
      <c r="D96" s="13" t="s">
        <v>9</v>
      </c>
      <c r="E96" s="13" t="s">
        <v>7</v>
      </c>
      <c r="F96" s="13" t="s">
        <v>145</v>
      </c>
      <c r="G96" s="13">
        <v>3</v>
      </c>
      <c r="H96" s="13" t="str">
        <f t="shared" si="4"/>
        <v>Fresher</v>
      </c>
      <c r="I96" s="13" t="str">
        <f t="shared" si="5"/>
        <v>30000</v>
      </c>
    </row>
    <row r="97" spans="1:9" x14ac:dyDescent="0.25">
      <c r="A97" s="13">
        <v>94</v>
      </c>
      <c r="B97" s="13">
        <v>31</v>
      </c>
      <c r="C97" s="13" t="str">
        <f t="shared" si="3"/>
        <v>Adult</v>
      </c>
      <c r="D97" s="13" t="s">
        <v>9</v>
      </c>
      <c r="E97" s="13" t="s">
        <v>7</v>
      </c>
      <c r="F97" s="13" t="s">
        <v>136</v>
      </c>
      <c r="G97" s="13">
        <v>3</v>
      </c>
      <c r="H97" s="13" t="str">
        <f t="shared" si="4"/>
        <v>Fresher</v>
      </c>
      <c r="I97" s="13" t="str">
        <f t="shared" si="5"/>
        <v>30000</v>
      </c>
    </row>
    <row r="98" spans="1:9" x14ac:dyDescent="0.25">
      <c r="A98" s="13">
        <v>95</v>
      </c>
      <c r="B98" s="13">
        <v>32</v>
      </c>
      <c r="C98" s="13" t="str">
        <f t="shared" si="3"/>
        <v>Adult</v>
      </c>
      <c r="D98" s="13" t="s">
        <v>6</v>
      </c>
      <c r="E98" s="13" t="s">
        <v>7</v>
      </c>
      <c r="F98" s="13" t="s">
        <v>8</v>
      </c>
      <c r="G98" s="13">
        <v>5</v>
      </c>
      <c r="H98" s="13" t="str">
        <f t="shared" si="4"/>
        <v>Experienced</v>
      </c>
      <c r="I98" s="13" t="str">
        <f t="shared" si="5"/>
        <v>60000</v>
      </c>
    </row>
    <row r="99" spans="1:9" x14ac:dyDescent="0.25">
      <c r="A99" s="13">
        <v>96</v>
      </c>
      <c r="B99" s="13">
        <v>32</v>
      </c>
      <c r="C99" s="13" t="str">
        <f t="shared" si="3"/>
        <v>Adult</v>
      </c>
      <c r="D99" s="13" t="s">
        <v>6</v>
      </c>
      <c r="E99" s="13" t="s">
        <v>7</v>
      </c>
      <c r="F99" s="13" t="s">
        <v>56</v>
      </c>
      <c r="G99" s="13">
        <v>5</v>
      </c>
      <c r="H99" s="13" t="str">
        <f t="shared" si="4"/>
        <v>Experienced</v>
      </c>
      <c r="I99" s="13" t="str">
        <f t="shared" si="5"/>
        <v>60000</v>
      </c>
    </row>
    <row r="100" spans="1:9" x14ac:dyDescent="0.25">
      <c r="A100" s="13">
        <v>97</v>
      </c>
      <c r="B100" s="13">
        <v>32</v>
      </c>
      <c r="C100" s="13" t="str">
        <f t="shared" si="3"/>
        <v>Adult</v>
      </c>
      <c r="D100" s="13" t="s">
        <v>6</v>
      </c>
      <c r="E100" s="13" t="s">
        <v>10</v>
      </c>
      <c r="F100" s="13" t="s">
        <v>78</v>
      </c>
      <c r="G100" s="13">
        <v>6</v>
      </c>
      <c r="H100" s="13" t="str">
        <f t="shared" si="4"/>
        <v>Experienced</v>
      </c>
      <c r="I100" s="13" t="str">
        <f t="shared" si="5"/>
        <v>60000</v>
      </c>
    </row>
    <row r="101" spans="1:9" x14ac:dyDescent="0.25">
      <c r="A101" s="13">
        <v>98</v>
      </c>
      <c r="B101" s="13">
        <v>32</v>
      </c>
      <c r="C101" s="13" t="str">
        <f t="shared" si="3"/>
        <v>Adult</v>
      </c>
      <c r="D101" s="13" t="s">
        <v>6</v>
      </c>
      <c r="E101" s="13" t="s">
        <v>10</v>
      </c>
      <c r="F101" s="13" t="s">
        <v>108</v>
      </c>
      <c r="G101" s="13">
        <v>6</v>
      </c>
      <c r="H101" s="13" t="str">
        <f t="shared" si="4"/>
        <v>Experienced</v>
      </c>
      <c r="I101" s="13" t="str">
        <f t="shared" si="5"/>
        <v>60000</v>
      </c>
    </row>
    <row r="102" spans="1:9" x14ac:dyDescent="0.25">
      <c r="A102" s="13">
        <v>99</v>
      </c>
      <c r="B102" s="13">
        <v>32</v>
      </c>
      <c r="C102" s="13" t="str">
        <f t="shared" si="3"/>
        <v>Adult</v>
      </c>
      <c r="D102" s="13" t="s">
        <v>9</v>
      </c>
      <c r="E102" s="13" t="s">
        <v>7</v>
      </c>
      <c r="F102" s="13" t="s">
        <v>19</v>
      </c>
      <c r="G102" s="13">
        <v>4</v>
      </c>
      <c r="H102" s="13" t="str">
        <f t="shared" si="4"/>
        <v>Experienced</v>
      </c>
      <c r="I102" s="13" t="str">
        <f t="shared" si="5"/>
        <v>60000</v>
      </c>
    </row>
    <row r="103" spans="1:9" x14ac:dyDescent="0.25">
      <c r="A103" s="13">
        <v>100</v>
      </c>
      <c r="B103" s="13">
        <v>32</v>
      </c>
      <c r="C103" s="13" t="str">
        <f t="shared" si="3"/>
        <v>Adult</v>
      </c>
      <c r="D103" s="13" t="s">
        <v>9</v>
      </c>
      <c r="E103" s="13" t="s">
        <v>7</v>
      </c>
      <c r="F103" s="13" t="s">
        <v>136</v>
      </c>
      <c r="G103" s="13">
        <v>5</v>
      </c>
      <c r="H103" s="13" t="str">
        <f t="shared" si="4"/>
        <v>Experienced</v>
      </c>
      <c r="I103" s="13" t="str">
        <f t="shared" si="5"/>
        <v>60000</v>
      </c>
    </row>
    <row r="104" spans="1:9" x14ac:dyDescent="0.25">
      <c r="A104" s="13">
        <v>101</v>
      </c>
      <c r="B104" s="13">
        <v>32</v>
      </c>
      <c r="C104" s="13" t="str">
        <f t="shared" si="3"/>
        <v>Adult</v>
      </c>
      <c r="D104" s="13" t="s">
        <v>9</v>
      </c>
      <c r="E104" s="13" t="s">
        <v>7</v>
      </c>
      <c r="F104" s="13" t="s">
        <v>86</v>
      </c>
      <c r="G104" s="13">
        <v>5</v>
      </c>
      <c r="H104" s="13" t="str">
        <f t="shared" si="4"/>
        <v>Experienced</v>
      </c>
      <c r="I104" s="13" t="str">
        <f t="shared" si="5"/>
        <v>60000</v>
      </c>
    </row>
    <row r="105" spans="1:9" x14ac:dyDescent="0.25">
      <c r="A105" s="13">
        <v>102</v>
      </c>
      <c r="B105" s="13">
        <v>32</v>
      </c>
      <c r="C105" s="13" t="str">
        <f t="shared" si="3"/>
        <v>Adult</v>
      </c>
      <c r="D105" s="13" t="s">
        <v>6</v>
      </c>
      <c r="E105" s="13" t="s">
        <v>7</v>
      </c>
      <c r="F105" s="13" t="s">
        <v>121</v>
      </c>
      <c r="G105" s="13">
        <v>3</v>
      </c>
      <c r="H105" s="13" t="str">
        <f t="shared" si="4"/>
        <v>Fresher</v>
      </c>
      <c r="I105" s="13" t="str">
        <f t="shared" si="5"/>
        <v>30000</v>
      </c>
    </row>
    <row r="106" spans="1:9" x14ac:dyDescent="0.25">
      <c r="A106" s="13">
        <v>103</v>
      </c>
      <c r="B106" s="13">
        <v>32</v>
      </c>
      <c r="C106" s="13" t="str">
        <f t="shared" si="3"/>
        <v>Adult</v>
      </c>
      <c r="D106" s="13" t="s">
        <v>9</v>
      </c>
      <c r="E106" s="13" t="s">
        <v>7</v>
      </c>
      <c r="F106" s="13" t="s">
        <v>122</v>
      </c>
      <c r="G106" s="13">
        <v>4</v>
      </c>
      <c r="H106" s="13" t="str">
        <f t="shared" si="4"/>
        <v>Experienced</v>
      </c>
      <c r="I106" s="13" t="str">
        <f t="shared" si="5"/>
        <v>60000</v>
      </c>
    </row>
    <row r="107" spans="1:9" x14ac:dyDescent="0.25">
      <c r="A107" s="13">
        <v>104</v>
      </c>
      <c r="B107" s="13">
        <v>32</v>
      </c>
      <c r="C107" s="13" t="str">
        <f t="shared" si="3"/>
        <v>Adult</v>
      </c>
      <c r="D107" s="13" t="s">
        <v>6</v>
      </c>
      <c r="E107" s="13" t="s">
        <v>7</v>
      </c>
      <c r="F107" s="13" t="s">
        <v>155</v>
      </c>
      <c r="G107" s="13">
        <v>4</v>
      </c>
      <c r="H107" s="13" t="str">
        <f t="shared" si="4"/>
        <v>Experienced</v>
      </c>
      <c r="I107" s="13" t="str">
        <f t="shared" si="5"/>
        <v>60000</v>
      </c>
    </row>
    <row r="108" spans="1:9" x14ac:dyDescent="0.25">
      <c r="A108" s="13">
        <v>105</v>
      </c>
      <c r="B108" s="13">
        <v>32</v>
      </c>
      <c r="C108" s="13" t="str">
        <f t="shared" si="3"/>
        <v>Adult</v>
      </c>
      <c r="D108" s="13" t="s">
        <v>6</v>
      </c>
      <c r="E108" s="13" t="s">
        <v>7</v>
      </c>
      <c r="F108" s="13" t="s">
        <v>183</v>
      </c>
      <c r="G108" s="13">
        <v>4</v>
      </c>
      <c r="H108" s="13" t="str">
        <f t="shared" si="4"/>
        <v>Experienced</v>
      </c>
      <c r="I108" s="13" t="str">
        <f t="shared" si="5"/>
        <v>60000</v>
      </c>
    </row>
    <row r="109" spans="1:9" x14ac:dyDescent="0.25">
      <c r="A109" s="13">
        <v>106</v>
      </c>
      <c r="B109" s="13">
        <v>32</v>
      </c>
      <c r="C109" s="13" t="str">
        <f t="shared" si="3"/>
        <v>Adult</v>
      </c>
      <c r="D109" s="13" t="s">
        <v>6</v>
      </c>
      <c r="E109" s="13" t="s">
        <v>7</v>
      </c>
      <c r="F109" s="13" t="s">
        <v>150</v>
      </c>
      <c r="G109" s="13">
        <v>3</v>
      </c>
      <c r="H109" s="13" t="str">
        <f t="shared" si="4"/>
        <v>Fresher</v>
      </c>
      <c r="I109" s="13" t="str">
        <f t="shared" si="5"/>
        <v>30000</v>
      </c>
    </row>
    <row r="110" spans="1:9" x14ac:dyDescent="0.25">
      <c r="A110" s="13">
        <v>107</v>
      </c>
      <c r="B110" s="13">
        <v>33</v>
      </c>
      <c r="C110" s="13" t="str">
        <f t="shared" si="3"/>
        <v>Adult</v>
      </c>
      <c r="D110" s="13" t="s">
        <v>9</v>
      </c>
      <c r="E110" s="13" t="s">
        <v>10</v>
      </c>
      <c r="F110" s="13" t="s">
        <v>27</v>
      </c>
      <c r="G110" s="13">
        <v>7</v>
      </c>
      <c r="H110" s="13" t="str">
        <f t="shared" si="4"/>
        <v>Experienced</v>
      </c>
      <c r="I110" s="13" t="str">
        <f t="shared" si="5"/>
        <v>60000</v>
      </c>
    </row>
    <row r="111" spans="1:9" x14ac:dyDescent="0.25">
      <c r="A111" s="13">
        <v>108</v>
      </c>
      <c r="B111" s="13">
        <v>33</v>
      </c>
      <c r="C111" s="13" t="str">
        <f t="shared" si="3"/>
        <v>Adult</v>
      </c>
      <c r="D111" s="13" t="s">
        <v>6</v>
      </c>
      <c r="E111" s="13" t="s">
        <v>10</v>
      </c>
      <c r="F111" s="13" t="s">
        <v>40</v>
      </c>
      <c r="G111" s="13">
        <v>6</v>
      </c>
      <c r="H111" s="13" t="str">
        <f t="shared" si="4"/>
        <v>Experienced</v>
      </c>
      <c r="I111" s="13" t="str">
        <f t="shared" si="5"/>
        <v>60000</v>
      </c>
    </row>
    <row r="112" spans="1:9" x14ac:dyDescent="0.25">
      <c r="A112" s="13">
        <v>109</v>
      </c>
      <c r="B112" s="13">
        <v>33</v>
      </c>
      <c r="C112" s="13" t="str">
        <f t="shared" si="3"/>
        <v>Adult</v>
      </c>
      <c r="D112" s="13" t="s">
        <v>6</v>
      </c>
      <c r="E112" s="13" t="s">
        <v>10</v>
      </c>
      <c r="F112" s="13" t="s">
        <v>60</v>
      </c>
      <c r="G112" s="13">
        <v>7</v>
      </c>
      <c r="H112" s="13" t="str">
        <f t="shared" si="4"/>
        <v>Experienced</v>
      </c>
      <c r="I112" s="13" t="str">
        <f t="shared" si="5"/>
        <v>60000</v>
      </c>
    </row>
    <row r="113" spans="1:9" x14ac:dyDescent="0.25">
      <c r="A113" s="13">
        <v>110</v>
      </c>
      <c r="B113" s="13">
        <v>33</v>
      </c>
      <c r="C113" s="13" t="str">
        <f t="shared" si="3"/>
        <v>Adult</v>
      </c>
      <c r="D113" s="13" t="s">
        <v>6</v>
      </c>
      <c r="E113" s="13" t="s">
        <v>7</v>
      </c>
      <c r="F113" s="13" t="s">
        <v>74</v>
      </c>
      <c r="G113" s="13">
        <v>6</v>
      </c>
      <c r="H113" s="13" t="str">
        <f t="shared" si="4"/>
        <v>Experienced</v>
      </c>
      <c r="I113" s="13" t="str">
        <f t="shared" si="5"/>
        <v>60000</v>
      </c>
    </row>
    <row r="114" spans="1:9" x14ac:dyDescent="0.25">
      <c r="A114" s="13">
        <v>111</v>
      </c>
      <c r="B114" s="13">
        <v>33</v>
      </c>
      <c r="C114" s="13" t="str">
        <f t="shared" si="3"/>
        <v>Adult</v>
      </c>
      <c r="D114" s="13" t="s">
        <v>6</v>
      </c>
      <c r="E114" s="13" t="s">
        <v>7</v>
      </c>
      <c r="F114" s="13" t="s">
        <v>31</v>
      </c>
      <c r="G114" s="13">
        <v>7</v>
      </c>
      <c r="H114" s="13" t="str">
        <f t="shared" si="4"/>
        <v>Experienced</v>
      </c>
      <c r="I114" s="13" t="str">
        <f t="shared" si="5"/>
        <v>60000</v>
      </c>
    </row>
    <row r="115" spans="1:9" x14ac:dyDescent="0.25">
      <c r="A115" s="13">
        <v>112</v>
      </c>
      <c r="B115" s="13">
        <v>33</v>
      </c>
      <c r="C115" s="13" t="str">
        <f t="shared" si="3"/>
        <v>Adult</v>
      </c>
      <c r="D115" s="13" t="s">
        <v>6</v>
      </c>
      <c r="E115" s="13" t="s">
        <v>7</v>
      </c>
      <c r="F115" s="13" t="s">
        <v>98</v>
      </c>
      <c r="G115" s="13">
        <v>5</v>
      </c>
      <c r="H115" s="13" t="str">
        <f t="shared" si="4"/>
        <v>Experienced</v>
      </c>
      <c r="I115" s="13" t="str">
        <f t="shared" si="5"/>
        <v>60000</v>
      </c>
    </row>
    <row r="116" spans="1:9" x14ac:dyDescent="0.25">
      <c r="A116" s="13">
        <v>113</v>
      </c>
      <c r="B116" s="13">
        <v>33</v>
      </c>
      <c r="C116" s="13" t="str">
        <f t="shared" si="3"/>
        <v>Adult</v>
      </c>
      <c r="D116" s="13" t="s">
        <v>9</v>
      </c>
      <c r="E116" s="13" t="s">
        <v>7</v>
      </c>
      <c r="F116" s="13" t="s">
        <v>114</v>
      </c>
      <c r="G116" s="13">
        <v>5</v>
      </c>
      <c r="H116" s="13" t="str">
        <f t="shared" si="4"/>
        <v>Experienced</v>
      </c>
      <c r="I116" s="13" t="str">
        <f t="shared" si="5"/>
        <v>60000</v>
      </c>
    </row>
    <row r="117" spans="1:9" x14ac:dyDescent="0.25">
      <c r="A117" s="13">
        <v>114</v>
      </c>
      <c r="B117" s="13">
        <v>33</v>
      </c>
      <c r="C117" s="13" t="str">
        <f t="shared" si="3"/>
        <v>Adult</v>
      </c>
      <c r="D117" s="13" t="s">
        <v>6</v>
      </c>
      <c r="E117" s="13" t="s">
        <v>7</v>
      </c>
      <c r="F117" s="13" t="s">
        <v>93</v>
      </c>
      <c r="G117" s="13">
        <v>5</v>
      </c>
      <c r="H117" s="13" t="str">
        <f t="shared" si="4"/>
        <v>Experienced</v>
      </c>
      <c r="I117" s="13" t="str">
        <f t="shared" si="5"/>
        <v>60000</v>
      </c>
    </row>
    <row r="118" spans="1:9" x14ac:dyDescent="0.25">
      <c r="A118" s="13">
        <v>115</v>
      </c>
      <c r="B118" s="13">
        <v>33</v>
      </c>
      <c r="C118" s="13" t="str">
        <f t="shared" si="3"/>
        <v>Adult</v>
      </c>
      <c r="D118" s="13" t="s">
        <v>6</v>
      </c>
      <c r="E118" s="13" t="s">
        <v>10</v>
      </c>
      <c r="F118" s="13" t="s">
        <v>137</v>
      </c>
      <c r="G118" s="13">
        <v>7</v>
      </c>
      <c r="H118" s="13" t="str">
        <f t="shared" si="4"/>
        <v>Experienced</v>
      </c>
      <c r="I118" s="13" t="str">
        <f t="shared" si="5"/>
        <v>60000</v>
      </c>
    </row>
    <row r="119" spans="1:9" x14ac:dyDescent="0.25">
      <c r="A119" s="13">
        <v>116</v>
      </c>
      <c r="B119" s="13">
        <v>33</v>
      </c>
      <c r="C119" s="13" t="str">
        <f t="shared" si="3"/>
        <v>Adult</v>
      </c>
      <c r="D119" s="13" t="s">
        <v>9</v>
      </c>
      <c r="E119" s="13" t="s">
        <v>10</v>
      </c>
      <c r="F119" s="13" t="s">
        <v>73</v>
      </c>
      <c r="G119" s="13">
        <v>6</v>
      </c>
      <c r="H119" s="13" t="str">
        <f t="shared" si="4"/>
        <v>Experienced</v>
      </c>
      <c r="I119" s="13" t="str">
        <f t="shared" si="5"/>
        <v>60000</v>
      </c>
    </row>
    <row r="120" spans="1:9" x14ac:dyDescent="0.25">
      <c r="A120" s="13">
        <v>117</v>
      </c>
      <c r="B120" s="13">
        <v>33</v>
      </c>
      <c r="C120" s="13" t="str">
        <f t="shared" si="3"/>
        <v>Adult</v>
      </c>
      <c r="D120" s="13" t="s">
        <v>6</v>
      </c>
      <c r="E120" s="13" t="s">
        <v>7</v>
      </c>
      <c r="F120" s="13" t="s">
        <v>173</v>
      </c>
      <c r="G120" s="13">
        <v>7</v>
      </c>
      <c r="H120" s="13" t="str">
        <f t="shared" si="4"/>
        <v>Experienced</v>
      </c>
      <c r="I120" s="13" t="str">
        <f t="shared" si="5"/>
        <v>60000</v>
      </c>
    </row>
    <row r="121" spans="1:9" x14ac:dyDescent="0.25">
      <c r="A121" s="13">
        <v>118</v>
      </c>
      <c r="B121" s="13">
        <v>33</v>
      </c>
      <c r="C121" s="13" t="str">
        <f t="shared" si="3"/>
        <v>Adult</v>
      </c>
      <c r="D121" s="13" t="s">
        <v>9</v>
      </c>
      <c r="E121" s="13" t="s">
        <v>7</v>
      </c>
      <c r="F121" s="13" t="s">
        <v>174</v>
      </c>
      <c r="G121" s="13">
        <v>5</v>
      </c>
      <c r="H121" s="13" t="str">
        <f t="shared" si="4"/>
        <v>Experienced</v>
      </c>
      <c r="I121" s="13" t="str">
        <f t="shared" si="5"/>
        <v>60000</v>
      </c>
    </row>
    <row r="122" spans="1:9" x14ac:dyDescent="0.25">
      <c r="A122" s="13">
        <v>119</v>
      </c>
      <c r="B122" s="13">
        <v>33</v>
      </c>
      <c r="C122" s="13" t="str">
        <f t="shared" si="3"/>
        <v>Adult</v>
      </c>
      <c r="D122" s="13" t="s">
        <v>9</v>
      </c>
      <c r="E122" s="13" t="s">
        <v>7</v>
      </c>
      <c r="F122" s="13" t="s">
        <v>114</v>
      </c>
      <c r="G122" s="13">
        <v>5</v>
      </c>
      <c r="H122" s="13" t="str">
        <f t="shared" si="4"/>
        <v>Experienced</v>
      </c>
      <c r="I122" s="13" t="str">
        <f t="shared" si="5"/>
        <v>60000</v>
      </c>
    </row>
    <row r="123" spans="1:9" x14ac:dyDescent="0.25">
      <c r="A123" s="13">
        <v>120</v>
      </c>
      <c r="B123" s="13">
        <v>33</v>
      </c>
      <c r="C123" s="13" t="str">
        <f t="shared" si="3"/>
        <v>Adult</v>
      </c>
      <c r="D123" s="13" t="s">
        <v>6</v>
      </c>
      <c r="E123" s="13" t="s">
        <v>7</v>
      </c>
      <c r="F123" s="13" t="s">
        <v>174</v>
      </c>
      <c r="G123" s="13">
        <v>4</v>
      </c>
      <c r="H123" s="13" t="str">
        <f t="shared" si="4"/>
        <v>Experienced</v>
      </c>
      <c r="I123" s="13" t="str">
        <f t="shared" si="5"/>
        <v>60000</v>
      </c>
    </row>
    <row r="124" spans="1:9" x14ac:dyDescent="0.25">
      <c r="A124" s="13">
        <v>121</v>
      </c>
      <c r="B124" s="13">
        <v>33</v>
      </c>
      <c r="C124" s="13" t="str">
        <f t="shared" si="3"/>
        <v>Adult</v>
      </c>
      <c r="D124" s="13" t="s">
        <v>6</v>
      </c>
      <c r="E124" s="13" t="s">
        <v>7</v>
      </c>
      <c r="F124" s="13" t="s">
        <v>125</v>
      </c>
      <c r="G124" s="13">
        <v>4</v>
      </c>
      <c r="H124" s="13" t="str">
        <f t="shared" si="4"/>
        <v>Experienced</v>
      </c>
      <c r="I124" s="13" t="str">
        <f t="shared" si="5"/>
        <v>60000</v>
      </c>
    </row>
    <row r="125" spans="1:9" x14ac:dyDescent="0.25">
      <c r="A125" s="13">
        <v>122</v>
      </c>
      <c r="B125" s="13">
        <v>33</v>
      </c>
      <c r="C125" s="13" t="str">
        <f t="shared" si="3"/>
        <v>Adult</v>
      </c>
      <c r="D125" s="13" t="s">
        <v>6</v>
      </c>
      <c r="E125" s="13" t="s">
        <v>7</v>
      </c>
      <c r="F125" s="13" t="s">
        <v>136</v>
      </c>
      <c r="G125" s="13">
        <v>4</v>
      </c>
      <c r="H125" s="13" t="str">
        <f t="shared" si="4"/>
        <v>Experienced</v>
      </c>
      <c r="I125" s="13" t="str">
        <f t="shared" si="5"/>
        <v>60000</v>
      </c>
    </row>
    <row r="126" spans="1:9" x14ac:dyDescent="0.25">
      <c r="A126" s="13">
        <v>123</v>
      </c>
      <c r="B126" s="13">
        <v>33</v>
      </c>
      <c r="C126" s="13" t="str">
        <f t="shared" si="3"/>
        <v>Adult</v>
      </c>
      <c r="D126" s="13" t="s">
        <v>9</v>
      </c>
      <c r="E126" s="13" t="s">
        <v>7</v>
      </c>
      <c r="F126" s="13" t="s">
        <v>122</v>
      </c>
      <c r="G126" s="13">
        <v>5</v>
      </c>
      <c r="H126" s="13" t="str">
        <f t="shared" si="4"/>
        <v>Experienced</v>
      </c>
      <c r="I126" s="13" t="str">
        <f t="shared" si="5"/>
        <v>60000</v>
      </c>
    </row>
    <row r="127" spans="1:9" x14ac:dyDescent="0.25">
      <c r="A127" s="13">
        <v>124</v>
      </c>
      <c r="B127" s="13">
        <v>33</v>
      </c>
      <c r="C127" s="13" t="str">
        <f t="shared" si="3"/>
        <v>Adult</v>
      </c>
      <c r="D127" s="13" t="s">
        <v>6</v>
      </c>
      <c r="E127" s="13" t="s">
        <v>7</v>
      </c>
      <c r="F127" s="13" t="s">
        <v>125</v>
      </c>
      <c r="G127" s="13">
        <v>4</v>
      </c>
      <c r="H127" s="13" t="str">
        <f t="shared" si="4"/>
        <v>Experienced</v>
      </c>
      <c r="I127" s="13" t="str">
        <f t="shared" si="5"/>
        <v>60000</v>
      </c>
    </row>
    <row r="128" spans="1:9" x14ac:dyDescent="0.25">
      <c r="A128" s="13">
        <v>125</v>
      </c>
      <c r="B128" s="13">
        <v>33</v>
      </c>
      <c r="C128" s="13" t="str">
        <f t="shared" si="3"/>
        <v>Adult</v>
      </c>
      <c r="D128" s="13" t="s">
        <v>6</v>
      </c>
      <c r="E128" s="13" t="s">
        <v>7</v>
      </c>
      <c r="F128" s="13" t="s">
        <v>155</v>
      </c>
      <c r="G128" s="13">
        <v>4</v>
      </c>
      <c r="H128" s="13" t="str">
        <f t="shared" si="4"/>
        <v>Experienced</v>
      </c>
      <c r="I128" s="13" t="str">
        <f t="shared" si="5"/>
        <v>60000</v>
      </c>
    </row>
    <row r="129" spans="1:9" x14ac:dyDescent="0.25">
      <c r="A129" s="13">
        <v>126</v>
      </c>
      <c r="B129" s="13">
        <v>33</v>
      </c>
      <c r="C129" s="13" t="str">
        <f t="shared" si="3"/>
        <v>Adult</v>
      </c>
      <c r="D129" s="13" t="s">
        <v>6</v>
      </c>
      <c r="E129" s="13" t="s">
        <v>7</v>
      </c>
      <c r="F129" s="13" t="s">
        <v>127</v>
      </c>
      <c r="G129" s="13">
        <v>5</v>
      </c>
      <c r="H129" s="13" t="str">
        <f t="shared" si="4"/>
        <v>Experienced</v>
      </c>
      <c r="I129" s="13" t="str">
        <f t="shared" si="5"/>
        <v>60000</v>
      </c>
    </row>
    <row r="130" spans="1:9" x14ac:dyDescent="0.25">
      <c r="A130" s="13">
        <v>127</v>
      </c>
      <c r="B130" s="13">
        <v>33</v>
      </c>
      <c r="C130" s="13" t="str">
        <f t="shared" si="3"/>
        <v>Adult</v>
      </c>
      <c r="D130" s="13" t="s">
        <v>6</v>
      </c>
      <c r="E130" s="13" t="s">
        <v>7</v>
      </c>
      <c r="F130" s="13" t="s">
        <v>125</v>
      </c>
      <c r="G130" s="13">
        <v>4</v>
      </c>
      <c r="H130" s="13" t="str">
        <f t="shared" si="4"/>
        <v>Experienced</v>
      </c>
      <c r="I130" s="13" t="str">
        <f t="shared" si="5"/>
        <v>60000</v>
      </c>
    </row>
    <row r="131" spans="1:9" x14ac:dyDescent="0.25">
      <c r="A131" s="13">
        <v>128</v>
      </c>
      <c r="B131" s="13">
        <v>33</v>
      </c>
      <c r="C131" s="13" t="str">
        <f t="shared" si="3"/>
        <v>Adult</v>
      </c>
      <c r="D131" s="13" t="s">
        <v>6</v>
      </c>
      <c r="E131" s="13" t="s">
        <v>7</v>
      </c>
      <c r="F131" s="13" t="s">
        <v>155</v>
      </c>
      <c r="G131" s="13">
        <v>4</v>
      </c>
      <c r="H131" s="13" t="str">
        <f t="shared" si="4"/>
        <v>Experienced</v>
      </c>
      <c r="I131" s="13" t="str">
        <f t="shared" si="5"/>
        <v>60000</v>
      </c>
    </row>
    <row r="132" spans="1:9" x14ac:dyDescent="0.25">
      <c r="A132" s="13">
        <v>129</v>
      </c>
      <c r="B132" s="13">
        <v>33</v>
      </c>
      <c r="C132" s="13" t="str">
        <f t="shared" ref="C132:C195" si="6">IF(B132&gt;=50,"Senior",IF(B132&gt;=25,"Adult","Teenager"))</f>
        <v>Adult</v>
      </c>
      <c r="D132" s="13" t="s">
        <v>6</v>
      </c>
      <c r="E132" s="13" t="s">
        <v>7</v>
      </c>
      <c r="F132" s="13" t="s">
        <v>127</v>
      </c>
      <c r="G132" s="13">
        <v>5</v>
      </c>
      <c r="H132" s="13" t="str">
        <f t="shared" si="4"/>
        <v>Experienced</v>
      </c>
      <c r="I132" s="13" t="str">
        <f t="shared" si="5"/>
        <v>60000</v>
      </c>
    </row>
    <row r="133" spans="1:9" x14ac:dyDescent="0.25">
      <c r="A133" s="13">
        <v>130</v>
      </c>
      <c r="B133" s="13">
        <v>33</v>
      </c>
      <c r="C133" s="13" t="str">
        <f t="shared" si="6"/>
        <v>Adult</v>
      </c>
      <c r="D133" s="13" t="s">
        <v>6</v>
      </c>
      <c r="E133" s="13" t="s">
        <v>7</v>
      </c>
      <c r="F133" s="13" t="s">
        <v>125</v>
      </c>
      <c r="G133" s="13">
        <v>4</v>
      </c>
      <c r="H133" s="13" t="str">
        <f t="shared" ref="H133:H196" si="7">IF(G133&gt;=4,"Experienced",IF(G133&lt;=3,"Fresher"))</f>
        <v>Experienced</v>
      </c>
      <c r="I133" s="13" t="str">
        <f t="shared" ref="I133:I196" si="8">IF(G133&lt;=1,"20000",IF(G133&lt;=3,"30000",IF(G133&lt;=10,"60000",IF(G133&lt;=15,"100000",IF(G133&lt;=20,"150000",IF(G133&lt;=25,"200000"))))))</f>
        <v>60000</v>
      </c>
    </row>
    <row r="134" spans="1:9" x14ac:dyDescent="0.25">
      <c r="A134" s="13">
        <v>131</v>
      </c>
      <c r="B134" s="13">
        <v>34</v>
      </c>
      <c r="C134" s="13" t="str">
        <f t="shared" si="6"/>
        <v>Adult</v>
      </c>
      <c r="D134" s="13" t="s">
        <v>9</v>
      </c>
      <c r="E134" s="13" t="s">
        <v>10</v>
      </c>
      <c r="F134" s="13" t="s">
        <v>31</v>
      </c>
      <c r="G134" s="13">
        <v>5</v>
      </c>
      <c r="H134" s="13" t="str">
        <f t="shared" si="7"/>
        <v>Experienced</v>
      </c>
      <c r="I134" s="13" t="str">
        <f t="shared" si="8"/>
        <v>60000</v>
      </c>
    </row>
    <row r="135" spans="1:9" x14ac:dyDescent="0.25">
      <c r="A135" s="13">
        <v>132</v>
      </c>
      <c r="B135" s="13">
        <v>34</v>
      </c>
      <c r="C135" s="13" t="str">
        <f t="shared" si="6"/>
        <v>Adult</v>
      </c>
      <c r="D135" s="13" t="s">
        <v>9</v>
      </c>
      <c r="E135" s="13" t="s">
        <v>10</v>
      </c>
      <c r="F135" s="13" t="s">
        <v>50</v>
      </c>
      <c r="G135" s="13">
        <v>5</v>
      </c>
      <c r="H135" s="13" t="str">
        <f t="shared" si="7"/>
        <v>Experienced</v>
      </c>
      <c r="I135" s="13" t="str">
        <f t="shared" si="8"/>
        <v>60000</v>
      </c>
    </row>
    <row r="136" spans="1:9" x14ac:dyDescent="0.25">
      <c r="A136" s="13">
        <v>133</v>
      </c>
      <c r="B136" s="13">
        <v>34</v>
      </c>
      <c r="C136" s="13" t="str">
        <f t="shared" si="6"/>
        <v>Adult</v>
      </c>
      <c r="D136" s="13" t="s">
        <v>6</v>
      </c>
      <c r="E136" s="13" t="s">
        <v>10</v>
      </c>
      <c r="F136" s="13" t="s">
        <v>72</v>
      </c>
      <c r="G136" s="13">
        <v>8</v>
      </c>
      <c r="H136" s="13" t="str">
        <f t="shared" si="7"/>
        <v>Experienced</v>
      </c>
      <c r="I136" s="13" t="str">
        <f t="shared" si="8"/>
        <v>60000</v>
      </c>
    </row>
    <row r="137" spans="1:9" x14ac:dyDescent="0.25">
      <c r="A137" s="13">
        <v>134</v>
      </c>
      <c r="B137" s="13">
        <v>34</v>
      </c>
      <c r="C137" s="13" t="str">
        <f t="shared" si="6"/>
        <v>Adult</v>
      </c>
      <c r="D137" s="13" t="s">
        <v>9</v>
      </c>
      <c r="E137" s="13" t="s">
        <v>10</v>
      </c>
      <c r="F137" s="13" t="s">
        <v>85</v>
      </c>
      <c r="G137" s="13">
        <v>10</v>
      </c>
      <c r="H137" s="13" t="str">
        <f t="shared" si="7"/>
        <v>Experienced</v>
      </c>
      <c r="I137" s="13" t="str">
        <f t="shared" si="8"/>
        <v>60000</v>
      </c>
    </row>
    <row r="138" spans="1:9" x14ac:dyDescent="0.25">
      <c r="A138" s="13">
        <v>135</v>
      </c>
      <c r="B138" s="13">
        <v>34</v>
      </c>
      <c r="C138" s="13" t="str">
        <f t="shared" si="6"/>
        <v>Adult</v>
      </c>
      <c r="D138" s="13" t="s">
        <v>6</v>
      </c>
      <c r="E138" s="13" t="s">
        <v>10</v>
      </c>
      <c r="F138" s="13" t="s">
        <v>117</v>
      </c>
      <c r="G138" s="13">
        <v>8</v>
      </c>
      <c r="H138" s="13" t="str">
        <f t="shared" si="7"/>
        <v>Experienced</v>
      </c>
      <c r="I138" s="13" t="str">
        <f t="shared" si="8"/>
        <v>60000</v>
      </c>
    </row>
    <row r="139" spans="1:9" x14ac:dyDescent="0.25">
      <c r="A139" s="13">
        <v>136</v>
      </c>
      <c r="B139" s="13">
        <v>34</v>
      </c>
      <c r="C139" s="13" t="str">
        <f t="shared" si="6"/>
        <v>Adult</v>
      </c>
      <c r="D139" s="13" t="s">
        <v>6</v>
      </c>
      <c r="E139" s="13" t="s">
        <v>7</v>
      </c>
      <c r="F139" s="13" t="s">
        <v>108</v>
      </c>
      <c r="G139" s="13">
        <v>8</v>
      </c>
      <c r="H139" s="13" t="str">
        <f t="shared" si="7"/>
        <v>Experienced</v>
      </c>
      <c r="I139" s="13" t="str">
        <f t="shared" si="8"/>
        <v>60000</v>
      </c>
    </row>
    <row r="140" spans="1:9" x14ac:dyDescent="0.25">
      <c r="A140" s="13">
        <v>137</v>
      </c>
      <c r="B140" s="13">
        <v>34</v>
      </c>
      <c r="C140" s="13" t="str">
        <f t="shared" si="6"/>
        <v>Adult</v>
      </c>
      <c r="D140" s="13" t="s">
        <v>6</v>
      </c>
      <c r="E140" s="13" t="s">
        <v>10</v>
      </c>
      <c r="F140" s="13" t="s">
        <v>78</v>
      </c>
      <c r="G140" s="13">
        <v>9</v>
      </c>
      <c r="H140" s="13" t="str">
        <f t="shared" si="7"/>
        <v>Experienced</v>
      </c>
      <c r="I140" s="13" t="str">
        <f t="shared" si="8"/>
        <v>60000</v>
      </c>
    </row>
    <row r="141" spans="1:9" x14ac:dyDescent="0.25">
      <c r="A141" s="13">
        <v>138</v>
      </c>
      <c r="B141" s="13">
        <v>34</v>
      </c>
      <c r="C141" s="13" t="str">
        <f t="shared" si="6"/>
        <v>Adult</v>
      </c>
      <c r="D141" s="13" t="s">
        <v>6</v>
      </c>
      <c r="E141" s="13" t="s">
        <v>7</v>
      </c>
      <c r="F141" s="13" t="s">
        <v>158</v>
      </c>
      <c r="G141" s="13">
        <v>9</v>
      </c>
      <c r="H141" s="13" t="str">
        <f t="shared" si="7"/>
        <v>Experienced</v>
      </c>
      <c r="I141" s="13" t="str">
        <f t="shared" si="8"/>
        <v>60000</v>
      </c>
    </row>
    <row r="142" spans="1:9" x14ac:dyDescent="0.25">
      <c r="A142" s="13">
        <v>139</v>
      </c>
      <c r="B142" s="13">
        <v>34</v>
      </c>
      <c r="C142" s="13" t="str">
        <f t="shared" si="6"/>
        <v>Adult</v>
      </c>
      <c r="D142" s="13" t="s">
        <v>6</v>
      </c>
      <c r="E142" s="13" t="s">
        <v>7</v>
      </c>
      <c r="F142" s="13" t="s">
        <v>113</v>
      </c>
      <c r="G142" s="13">
        <v>7</v>
      </c>
      <c r="H142" s="13" t="str">
        <f t="shared" si="7"/>
        <v>Experienced</v>
      </c>
      <c r="I142" s="13" t="str">
        <f t="shared" si="8"/>
        <v>60000</v>
      </c>
    </row>
    <row r="143" spans="1:9" x14ac:dyDescent="0.25">
      <c r="A143" s="13">
        <v>140</v>
      </c>
      <c r="B143" s="13">
        <v>34</v>
      </c>
      <c r="C143" s="13" t="str">
        <f t="shared" si="6"/>
        <v>Adult</v>
      </c>
      <c r="D143" s="13" t="s">
        <v>9</v>
      </c>
      <c r="E143" s="13" t="s">
        <v>10</v>
      </c>
      <c r="F143" s="13" t="s">
        <v>170</v>
      </c>
      <c r="G143" s="13">
        <v>6</v>
      </c>
      <c r="H143" s="13" t="str">
        <f t="shared" si="7"/>
        <v>Experienced</v>
      </c>
      <c r="I143" s="13" t="str">
        <f t="shared" si="8"/>
        <v>60000</v>
      </c>
    </row>
    <row r="144" spans="1:9" x14ac:dyDescent="0.25">
      <c r="A144" s="13">
        <v>141</v>
      </c>
      <c r="B144" s="13">
        <v>34</v>
      </c>
      <c r="C144" s="13" t="str">
        <f t="shared" si="6"/>
        <v>Adult</v>
      </c>
      <c r="D144" s="13" t="s">
        <v>9</v>
      </c>
      <c r="E144" s="13" t="s">
        <v>7</v>
      </c>
      <c r="F144" s="13" t="s">
        <v>109</v>
      </c>
      <c r="G144" s="13">
        <v>6</v>
      </c>
      <c r="H144" s="13" t="str">
        <f t="shared" si="7"/>
        <v>Experienced</v>
      </c>
      <c r="I144" s="13" t="str">
        <f t="shared" si="8"/>
        <v>60000</v>
      </c>
    </row>
    <row r="145" spans="1:9" x14ac:dyDescent="0.25">
      <c r="A145" s="13">
        <v>142</v>
      </c>
      <c r="B145" s="13">
        <v>34</v>
      </c>
      <c r="C145" s="13" t="str">
        <f t="shared" si="6"/>
        <v>Adult</v>
      </c>
      <c r="D145" s="13" t="s">
        <v>9</v>
      </c>
      <c r="E145" s="13" t="s">
        <v>10</v>
      </c>
      <c r="F145" s="13" t="s">
        <v>170</v>
      </c>
      <c r="G145" s="13">
        <v>6</v>
      </c>
      <c r="H145" s="13" t="str">
        <f t="shared" si="7"/>
        <v>Experienced</v>
      </c>
      <c r="I145" s="13" t="str">
        <f t="shared" si="8"/>
        <v>60000</v>
      </c>
    </row>
    <row r="146" spans="1:9" x14ac:dyDescent="0.25">
      <c r="A146" s="13">
        <v>143</v>
      </c>
      <c r="B146" s="13">
        <v>34</v>
      </c>
      <c r="C146" s="13" t="str">
        <f t="shared" si="6"/>
        <v>Adult</v>
      </c>
      <c r="D146" s="13" t="s">
        <v>9</v>
      </c>
      <c r="E146" s="13" t="s">
        <v>7</v>
      </c>
      <c r="F146" s="13" t="s">
        <v>136</v>
      </c>
      <c r="G146" s="13">
        <v>5</v>
      </c>
      <c r="H146" s="13" t="str">
        <f t="shared" si="7"/>
        <v>Experienced</v>
      </c>
      <c r="I146" s="13" t="str">
        <f t="shared" si="8"/>
        <v>60000</v>
      </c>
    </row>
    <row r="147" spans="1:9" x14ac:dyDescent="0.25">
      <c r="A147" s="13">
        <v>144</v>
      </c>
      <c r="B147" s="13">
        <v>34</v>
      </c>
      <c r="C147" s="13" t="str">
        <f t="shared" si="6"/>
        <v>Adult</v>
      </c>
      <c r="D147" s="13" t="s">
        <v>9</v>
      </c>
      <c r="E147" s="13" t="s">
        <v>10</v>
      </c>
      <c r="F147" s="13" t="s">
        <v>170</v>
      </c>
      <c r="G147" s="13">
        <v>6</v>
      </c>
      <c r="H147" s="13" t="str">
        <f t="shared" si="7"/>
        <v>Experienced</v>
      </c>
      <c r="I147" s="13" t="str">
        <f t="shared" si="8"/>
        <v>60000</v>
      </c>
    </row>
    <row r="148" spans="1:9" x14ac:dyDescent="0.25">
      <c r="A148" s="13">
        <v>145</v>
      </c>
      <c r="B148" s="13">
        <v>34</v>
      </c>
      <c r="C148" s="13" t="str">
        <f t="shared" si="6"/>
        <v>Adult</v>
      </c>
      <c r="D148" s="13" t="s">
        <v>6</v>
      </c>
      <c r="E148" s="13" t="s">
        <v>7</v>
      </c>
      <c r="F148" s="13" t="s">
        <v>182</v>
      </c>
      <c r="G148" s="13">
        <v>7</v>
      </c>
      <c r="H148" s="13" t="str">
        <f t="shared" si="7"/>
        <v>Experienced</v>
      </c>
      <c r="I148" s="13" t="str">
        <f t="shared" si="8"/>
        <v>60000</v>
      </c>
    </row>
    <row r="149" spans="1:9" x14ac:dyDescent="0.25">
      <c r="A149" s="13">
        <v>146</v>
      </c>
      <c r="B149" s="13">
        <v>34</v>
      </c>
      <c r="C149" s="13" t="str">
        <f t="shared" si="6"/>
        <v>Adult</v>
      </c>
      <c r="D149" s="13" t="s">
        <v>6</v>
      </c>
      <c r="E149" s="13" t="s">
        <v>7</v>
      </c>
      <c r="F149" s="13" t="s">
        <v>182</v>
      </c>
      <c r="G149" s="13">
        <v>7</v>
      </c>
      <c r="H149" s="13" t="str">
        <f t="shared" si="7"/>
        <v>Experienced</v>
      </c>
      <c r="I149" s="13" t="str">
        <f t="shared" si="8"/>
        <v>60000</v>
      </c>
    </row>
    <row r="150" spans="1:9" x14ac:dyDescent="0.25">
      <c r="A150" s="13">
        <v>147</v>
      </c>
      <c r="B150" s="13">
        <v>34</v>
      </c>
      <c r="C150" s="13" t="str">
        <f t="shared" si="6"/>
        <v>Adult</v>
      </c>
      <c r="D150" s="13" t="s">
        <v>6</v>
      </c>
      <c r="E150" s="13" t="s">
        <v>7</v>
      </c>
      <c r="F150" s="13" t="s">
        <v>182</v>
      </c>
      <c r="G150" s="13">
        <v>7</v>
      </c>
      <c r="H150" s="13" t="str">
        <f t="shared" si="7"/>
        <v>Experienced</v>
      </c>
      <c r="I150" s="13" t="str">
        <f t="shared" si="8"/>
        <v>60000</v>
      </c>
    </row>
    <row r="151" spans="1:9" x14ac:dyDescent="0.25">
      <c r="A151" s="13">
        <v>148</v>
      </c>
      <c r="B151" s="13">
        <v>35</v>
      </c>
      <c r="C151" s="13" t="str">
        <f t="shared" si="6"/>
        <v>Adult</v>
      </c>
      <c r="D151" s="13" t="s">
        <v>6</v>
      </c>
      <c r="E151" s="13" t="s">
        <v>7</v>
      </c>
      <c r="F151" s="13" t="s">
        <v>23</v>
      </c>
      <c r="G151" s="13">
        <v>6</v>
      </c>
      <c r="H151" s="13" t="str">
        <f t="shared" si="7"/>
        <v>Experienced</v>
      </c>
      <c r="I151" s="13" t="str">
        <f t="shared" si="8"/>
        <v>60000</v>
      </c>
    </row>
    <row r="152" spans="1:9" x14ac:dyDescent="0.25">
      <c r="A152" s="13">
        <v>149</v>
      </c>
      <c r="B152" s="13">
        <v>35</v>
      </c>
      <c r="C152" s="13" t="str">
        <f t="shared" si="6"/>
        <v>Adult</v>
      </c>
      <c r="D152" s="13" t="s">
        <v>9</v>
      </c>
      <c r="E152" s="13" t="s">
        <v>7</v>
      </c>
      <c r="F152" s="13" t="s">
        <v>46</v>
      </c>
      <c r="G152" s="13">
        <v>7</v>
      </c>
      <c r="H152" s="13" t="str">
        <f t="shared" si="7"/>
        <v>Experienced</v>
      </c>
      <c r="I152" s="13" t="str">
        <f t="shared" si="8"/>
        <v>60000</v>
      </c>
    </row>
    <row r="153" spans="1:9" x14ac:dyDescent="0.25">
      <c r="A153" s="13">
        <v>150</v>
      </c>
      <c r="B153" s="13">
        <v>35</v>
      </c>
      <c r="C153" s="13" t="str">
        <f t="shared" si="6"/>
        <v>Adult</v>
      </c>
      <c r="D153" s="13" t="s">
        <v>6</v>
      </c>
      <c r="E153" s="13" t="s">
        <v>10</v>
      </c>
      <c r="F153" s="13" t="s">
        <v>17</v>
      </c>
      <c r="G153" s="13">
        <v>7</v>
      </c>
      <c r="H153" s="13" t="str">
        <f t="shared" si="7"/>
        <v>Experienced</v>
      </c>
      <c r="I153" s="13" t="str">
        <f t="shared" si="8"/>
        <v>60000</v>
      </c>
    </row>
    <row r="154" spans="1:9" x14ac:dyDescent="0.25">
      <c r="A154" s="13">
        <v>151</v>
      </c>
      <c r="B154" s="13">
        <v>35</v>
      </c>
      <c r="C154" s="13" t="str">
        <f t="shared" si="6"/>
        <v>Adult</v>
      </c>
      <c r="D154" s="13" t="s">
        <v>6</v>
      </c>
      <c r="E154" s="13" t="s">
        <v>10</v>
      </c>
      <c r="F154" s="13" t="s">
        <v>96</v>
      </c>
      <c r="G154" s="13">
        <v>8</v>
      </c>
      <c r="H154" s="13" t="str">
        <f t="shared" si="7"/>
        <v>Experienced</v>
      </c>
      <c r="I154" s="13" t="str">
        <f t="shared" si="8"/>
        <v>60000</v>
      </c>
    </row>
    <row r="155" spans="1:9" x14ac:dyDescent="0.25">
      <c r="A155" s="13">
        <v>152</v>
      </c>
      <c r="B155" s="13">
        <v>35</v>
      </c>
      <c r="C155" s="13" t="str">
        <f t="shared" si="6"/>
        <v>Adult</v>
      </c>
      <c r="D155" s="13" t="s">
        <v>6</v>
      </c>
      <c r="E155" s="13" t="s">
        <v>10</v>
      </c>
      <c r="F155" s="13" t="s">
        <v>113</v>
      </c>
      <c r="G155" s="13">
        <v>10</v>
      </c>
      <c r="H155" s="13" t="str">
        <f t="shared" si="7"/>
        <v>Experienced</v>
      </c>
      <c r="I155" s="13" t="str">
        <f t="shared" si="8"/>
        <v>60000</v>
      </c>
    </row>
    <row r="156" spans="1:9" x14ac:dyDescent="0.25">
      <c r="A156" s="13">
        <v>153</v>
      </c>
      <c r="B156" s="13">
        <v>35</v>
      </c>
      <c r="C156" s="13" t="str">
        <f t="shared" si="6"/>
        <v>Adult</v>
      </c>
      <c r="D156" s="13" t="s">
        <v>6</v>
      </c>
      <c r="E156" s="13" t="s">
        <v>7</v>
      </c>
      <c r="F156" s="13" t="s">
        <v>143</v>
      </c>
      <c r="G156" s="13">
        <v>7</v>
      </c>
      <c r="H156" s="13" t="str">
        <f t="shared" si="7"/>
        <v>Experienced</v>
      </c>
      <c r="I156" s="13" t="str">
        <f t="shared" si="8"/>
        <v>60000</v>
      </c>
    </row>
    <row r="157" spans="1:9" x14ac:dyDescent="0.25">
      <c r="A157" s="13">
        <v>154</v>
      </c>
      <c r="B157" s="13">
        <v>35</v>
      </c>
      <c r="C157" s="13" t="str">
        <f t="shared" si="6"/>
        <v>Adult</v>
      </c>
      <c r="D157" s="13" t="s">
        <v>6</v>
      </c>
      <c r="E157" s="13" t="s">
        <v>7</v>
      </c>
      <c r="F157" s="13" t="s">
        <v>152</v>
      </c>
      <c r="G157" s="13">
        <v>7</v>
      </c>
      <c r="H157" s="13" t="str">
        <f t="shared" si="7"/>
        <v>Experienced</v>
      </c>
      <c r="I157" s="13" t="str">
        <f t="shared" si="8"/>
        <v>60000</v>
      </c>
    </row>
    <row r="158" spans="1:9" x14ac:dyDescent="0.25">
      <c r="A158" s="13">
        <v>155</v>
      </c>
      <c r="B158" s="13">
        <v>35</v>
      </c>
      <c r="C158" s="13" t="str">
        <f t="shared" si="6"/>
        <v>Adult</v>
      </c>
      <c r="D158" s="13" t="s">
        <v>6</v>
      </c>
      <c r="E158" s="13" t="s">
        <v>10</v>
      </c>
      <c r="F158" s="13" t="s">
        <v>117</v>
      </c>
      <c r="G158" s="13">
        <v>9</v>
      </c>
      <c r="H158" s="13" t="str">
        <f t="shared" si="7"/>
        <v>Experienced</v>
      </c>
      <c r="I158" s="13" t="str">
        <f t="shared" si="8"/>
        <v>60000</v>
      </c>
    </row>
    <row r="159" spans="1:9" x14ac:dyDescent="0.25">
      <c r="A159" s="13">
        <v>156</v>
      </c>
      <c r="B159" s="13">
        <v>35</v>
      </c>
      <c r="C159" s="13" t="str">
        <f t="shared" si="6"/>
        <v>Adult</v>
      </c>
      <c r="D159" s="13" t="s">
        <v>9</v>
      </c>
      <c r="E159" s="13" t="s">
        <v>7</v>
      </c>
      <c r="F159" s="13" t="s">
        <v>103</v>
      </c>
      <c r="G159" s="13">
        <v>8</v>
      </c>
      <c r="H159" s="13" t="str">
        <f t="shared" si="7"/>
        <v>Experienced</v>
      </c>
      <c r="I159" s="13" t="str">
        <f t="shared" si="8"/>
        <v>60000</v>
      </c>
    </row>
    <row r="160" spans="1:9" x14ac:dyDescent="0.25">
      <c r="A160" s="13">
        <v>157</v>
      </c>
      <c r="B160" s="13">
        <v>35</v>
      </c>
      <c r="C160" s="13" t="str">
        <f t="shared" si="6"/>
        <v>Adult</v>
      </c>
      <c r="D160" s="13" t="s">
        <v>6</v>
      </c>
      <c r="E160" s="13" t="s">
        <v>7</v>
      </c>
      <c r="F160" s="13" t="s">
        <v>99</v>
      </c>
      <c r="G160" s="13">
        <v>9</v>
      </c>
      <c r="H160" s="13" t="str">
        <f t="shared" si="7"/>
        <v>Experienced</v>
      </c>
      <c r="I160" s="13" t="str">
        <f t="shared" si="8"/>
        <v>60000</v>
      </c>
    </row>
    <row r="161" spans="1:9" x14ac:dyDescent="0.25">
      <c r="A161" s="13">
        <v>158</v>
      </c>
      <c r="B161" s="13">
        <v>35</v>
      </c>
      <c r="C161" s="13" t="str">
        <f t="shared" si="6"/>
        <v>Adult</v>
      </c>
      <c r="D161" s="13" t="s">
        <v>6</v>
      </c>
      <c r="E161" s="13" t="s">
        <v>7</v>
      </c>
      <c r="F161" s="13" t="s">
        <v>152</v>
      </c>
      <c r="G161" s="13">
        <v>8</v>
      </c>
      <c r="H161" s="13" t="str">
        <f t="shared" si="7"/>
        <v>Experienced</v>
      </c>
      <c r="I161" s="13" t="str">
        <f t="shared" si="8"/>
        <v>60000</v>
      </c>
    </row>
    <row r="162" spans="1:9" x14ac:dyDescent="0.25">
      <c r="A162" s="13">
        <v>159</v>
      </c>
      <c r="B162" s="13">
        <v>35</v>
      </c>
      <c r="C162" s="13" t="str">
        <f t="shared" si="6"/>
        <v>Adult</v>
      </c>
      <c r="D162" s="13" t="s">
        <v>9</v>
      </c>
      <c r="E162" s="13" t="s">
        <v>7</v>
      </c>
      <c r="F162" s="13" t="s">
        <v>103</v>
      </c>
      <c r="G162" s="13">
        <v>8</v>
      </c>
      <c r="H162" s="13" t="str">
        <f t="shared" si="7"/>
        <v>Experienced</v>
      </c>
      <c r="I162" s="13" t="str">
        <f t="shared" si="8"/>
        <v>60000</v>
      </c>
    </row>
    <row r="163" spans="1:9" x14ac:dyDescent="0.25">
      <c r="A163" s="13">
        <v>160</v>
      </c>
      <c r="B163" s="13">
        <v>35</v>
      </c>
      <c r="C163" s="13" t="str">
        <f t="shared" si="6"/>
        <v>Adult</v>
      </c>
      <c r="D163" s="13" t="s">
        <v>6</v>
      </c>
      <c r="E163" s="13" t="s">
        <v>7</v>
      </c>
      <c r="F163" s="13" t="s">
        <v>99</v>
      </c>
      <c r="G163" s="13">
        <v>9</v>
      </c>
      <c r="H163" s="13" t="str">
        <f t="shared" si="7"/>
        <v>Experienced</v>
      </c>
      <c r="I163" s="13" t="str">
        <f t="shared" si="8"/>
        <v>60000</v>
      </c>
    </row>
    <row r="164" spans="1:9" x14ac:dyDescent="0.25">
      <c r="A164" s="13">
        <v>161</v>
      </c>
      <c r="B164" s="13">
        <v>35</v>
      </c>
      <c r="C164" s="13" t="str">
        <f t="shared" si="6"/>
        <v>Adult</v>
      </c>
      <c r="D164" s="13" t="s">
        <v>6</v>
      </c>
      <c r="E164" s="13" t="s">
        <v>7</v>
      </c>
      <c r="F164" s="13" t="s">
        <v>177</v>
      </c>
      <c r="G164" s="13">
        <v>9</v>
      </c>
      <c r="H164" s="13" t="str">
        <f t="shared" si="7"/>
        <v>Experienced</v>
      </c>
      <c r="I164" s="13" t="str">
        <f t="shared" si="8"/>
        <v>60000</v>
      </c>
    </row>
    <row r="165" spans="1:9" x14ac:dyDescent="0.25">
      <c r="A165" s="13">
        <v>162</v>
      </c>
      <c r="B165" s="13">
        <v>35</v>
      </c>
      <c r="C165" s="13" t="str">
        <f t="shared" si="6"/>
        <v>Adult</v>
      </c>
      <c r="D165" s="13" t="s">
        <v>9</v>
      </c>
      <c r="E165" s="13" t="s">
        <v>7</v>
      </c>
      <c r="F165" s="13" t="s">
        <v>103</v>
      </c>
      <c r="G165" s="13">
        <v>8</v>
      </c>
      <c r="H165" s="13" t="str">
        <f t="shared" si="7"/>
        <v>Experienced</v>
      </c>
      <c r="I165" s="13" t="str">
        <f t="shared" si="8"/>
        <v>60000</v>
      </c>
    </row>
    <row r="166" spans="1:9" x14ac:dyDescent="0.25">
      <c r="A166" s="13">
        <v>163</v>
      </c>
      <c r="B166" s="13">
        <v>35</v>
      </c>
      <c r="C166" s="13" t="str">
        <f t="shared" si="6"/>
        <v>Adult</v>
      </c>
      <c r="D166" s="13" t="s">
        <v>6</v>
      </c>
      <c r="E166" s="13" t="s">
        <v>7</v>
      </c>
      <c r="F166" s="13" t="s">
        <v>132</v>
      </c>
      <c r="G166" s="13">
        <v>7</v>
      </c>
      <c r="H166" s="13" t="str">
        <f t="shared" si="7"/>
        <v>Experienced</v>
      </c>
      <c r="I166" s="13" t="str">
        <f t="shared" si="8"/>
        <v>60000</v>
      </c>
    </row>
    <row r="167" spans="1:9" x14ac:dyDescent="0.25">
      <c r="A167" s="13">
        <v>164</v>
      </c>
      <c r="B167" s="13">
        <v>35</v>
      </c>
      <c r="C167" s="13" t="str">
        <f t="shared" si="6"/>
        <v>Adult</v>
      </c>
      <c r="D167" s="13" t="s">
        <v>6</v>
      </c>
      <c r="E167" s="13" t="s">
        <v>7</v>
      </c>
      <c r="F167" s="13" t="s">
        <v>177</v>
      </c>
      <c r="G167" s="13">
        <v>9</v>
      </c>
      <c r="H167" s="13" t="str">
        <f t="shared" si="7"/>
        <v>Experienced</v>
      </c>
      <c r="I167" s="13" t="str">
        <f t="shared" si="8"/>
        <v>60000</v>
      </c>
    </row>
    <row r="168" spans="1:9" x14ac:dyDescent="0.25">
      <c r="A168" s="13">
        <v>165</v>
      </c>
      <c r="B168" s="13">
        <v>35</v>
      </c>
      <c r="C168" s="13" t="str">
        <f t="shared" si="6"/>
        <v>Adult</v>
      </c>
      <c r="D168" s="13" t="s">
        <v>9</v>
      </c>
      <c r="E168" s="13" t="s">
        <v>7</v>
      </c>
      <c r="F168" s="13" t="s">
        <v>103</v>
      </c>
      <c r="G168" s="13">
        <v>8</v>
      </c>
      <c r="H168" s="13" t="str">
        <f t="shared" si="7"/>
        <v>Experienced</v>
      </c>
      <c r="I168" s="13" t="str">
        <f t="shared" si="8"/>
        <v>60000</v>
      </c>
    </row>
    <row r="169" spans="1:9" x14ac:dyDescent="0.25">
      <c r="A169" s="13">
        <v>166</v>
      </c>
      <c r="B169" s="13">
        <v>35</v>
      </c>
      <c r="C169" s="13" t="str">
        <f t="shared" si="6"/>
        <v>Adult</v>
      </c>
      <c r="D169" s="13" t="s">
        <v>9</v>
      </c>
      <c r="E169" s="13" t="s">
        <v>7</v>
      </c>
      <c r="F169" s="13" t="s">
        <v>177</v>
      </c>
      <c r="G169" s="13">
        <v>8</v>
      </c>
      <c r="H169" s="13" t="str">
        <f t="shared" si="7"/>
        <v>Experienced</v>
      </c>
      <c r="I169" s="13" t="str">
        <f t="shared" si="8"/>
        <v>60000</v>
      </c>
    </row>
    <row r="170" spans="1:9" x14ac:dyDescent="0.25">
      <c r="A170" s="13">
        <v>167</v>
      </c>
      <c r="B170" s="13">
        <v>35</v>
      </c>
      <c r="C170" s="13" t="str">
        <f t="shared" si="6"/>
        <v>Adult</v>
      </c>
      <c r="D170" s="13" t="s">
        <v>9</v>
      </c>
      <c r="E170" s="13" t="s">
        <v>7</v>
      </c>
      <c r="F170" s="13" t="s">
        <v>103</v>
      </c>
      <c r="G170" s="13">
        <v>8</v>
      </c>
      <c r="H170" s="13" t="str">
        <f t="shared" si="7"/>
        <v>Experienced</v>
      </c>
      <c r="I170" s="13" t="str">
        <f t="shared" si="8"/>
        <v>60000</v>
      </c>
    </row>
    <row r="171" spans="1:9" x14ac:dyDescent="0.25">
      <c r="A171" s="13">
        <v>168</v>
      </c>
      <c r="B171" s="13">
        <v>35</v>
      </c>
      <c r="C171" s="13" t="str">
        <f t="shared" si="6"/>
        <v>Adult</v>
      </c>
      <c r="D171" s="13" t="s">
        <v>9</v>
      </c>
      <c r="E171" s="13" t="s">
        <v>7</v>
      </c>
      <c r="F171" s="13" t="s">
        <v>177</v>
      </c>
      <c r="G171" s="13">
        <v>8</v>
      </c>
      <c r="H171" s="13" t="str">
        <f t="shared" si="7"/>
        <v>Experienced</v>
      </c>
      <c r="I171" s="13" t="str">
        <f t="shared" si="8"/>
        <v>60000</v>
      </c>
    </row>
    <row r="172" spans="1:9" x14ac:dyDescent="0.25">
      <c r="A172" s="13">
        <v>169</v>
      </c>
      <c r="B172" s="13">
        <v>35</v>
      </c>
      <c r="C172" s="13" t="str">
        <f t="shared" si="6"/>
        <v>Adult</v>
      </c>
      <c r="D172" s="13" t="s">
        <v>9</v>
      </c>
      <c r="E172" s="13" t="s">
        <v>7</v>
      </c>
      <c r="F172" s="13" t="s">
        <v>103</v>
      </c>
      <c r="G172" s="13">
        <v>8</v>
      </c>
      <c r="H172" s="13" t="str">
        <f t="shared" si="7"/>
        <v>Experienced</v>
      </c>
      <c r="I172" s="13" t="str">
        <f t="shared" si="8"/>
        <v>60000</v>
      </c>
    </row>
    <row r="173" spans="1:9" x14ac:dyDescent="0.25">
      <c r="A173" s="13">
        <v>170</v>
      </c>
      <c r="B173" s="13">
        <v>36</v>
      </c>
      <c r="C173" s="13" t="str">
        <f t="shared" si="6"/>
        <v>Adult</v>
      </c>
      <c r="D173" s="13" t="s">
        <v>9</v>
      </c>
      <c r="E173" s="13" t="s">
        <v>7</v>
      </c>
      <c r="F173" s="13" t="s">
        <v>14</v>
      </c>
      <c r="G173" s="13">
        <v>7</v>
      </c>
      <c r="H173" s="13" t="str">
        <f t="shared" si="7"/>
        <v>Experienced</v>
      </c>
      <c r="I173" s="13" t="str">
        <f t="shared" si="8"/>
        <v>60000</v>
      </c>
    </row>
    <row r="174" spans="1:9" x14ac:dyDescent="0.25">
      <c r="A174" s="13">
        <v>171</v>
      </c>
      <c r="B174" s="13">
        <v>36</v>
      </c>
      <c r="C174" s="13" t="str">
        <f t="shared" si="6"/>
        <v>Adult</v>
      </c>
      <c r="D174" s="13" t="s">
        <v>9</v>
      </c>
      <c r="E174" s="13" t="s">
        <v>7</v>
      </c>
      <c r="F174" s="13" t="s">
        <v>34</v>
      </c>
      <c r="G174" s="13">
        <v>9</v>
      </c>
      <c r="H174" s="13" t="str">
        <f t="shared" si="7"/>
        <v>Experienced</v>
      </c>
      <c r="I174" s="13" t="str">
        <f t="shared" si="8"/>
        <v>60000</v>
      </c>
    </row>
    <row r="175" spans="1:9" x14ac:dyDescent="0.25">
      <c r="A175" s="13">
        <v>172</v>
      </c>
      <c r="B175" s="13">
        <v>36</v>
      </c>
      <c r="C175" s="13" t="str">
        <f t="shared" si="6"/>
        <v>Adult</v>
      </c>
      <c r="D175" s="13" t="s">
        <v>9</v>
      </c>
      <c r="E175" s="13" t="s">
        <v>7</v>
      </c>
      <c r="F175" s="13" t="s">
        <v>53</v>
      </c>
      <c r="G175" s="13">
        <v>8</v>
      </c>
      <c r="H175" s="13" t="str">
        <f t="shared" si="7"/>
        <v>Experienced</v>
      </c>
      <c r="I175" s="13" t="str">
        <f t="shared" si="8"/>
        <v>60000</v>
      </c>
    </row>
    <row r="176" spans="1:9" x14ac:dyDescent="0.25">
      <c r="A176" s="13">
        <v>173</v>
      </c>
      <c r="B176" s="13">
        <v>36</v>
      </c>
      <c r="C176" s="13" t="str">
        <f t="shared" si="6"/>
        <v>Adult</v>
      </c>
      <c r="D176" s="13" t="s">
        <v>6</v>
      </c>
      <c r="E176" s="13" t="s">
        <v>7</v>
      </c>
      <c r="F176" s="13" t="s">
        <v>18</v>
      </c>
      <c r="G176" s="13">
        <v>9</v>
      </c>
      <c r="H176" s="13" t="str">
        <f t="shared" si="7"/>
        <v>Experienced</v>
      </c>
      <c r="I176" s="13" t="str">
        <f t="shared" si="8"/>
        <v>60000</v>
      </c>
    </row>
    <row r="177" spans="1:9" x14ac:dyDescent="0.25">
      <c r="A177" s="13">
        <v>174</v>
      </c>
      <c r="B177" s="13">
        <v>36</v>
      </c>
      <c r="C177" s="13" t="str">
        <f t="shared" si="6"/>
        <v>Adult</v>
      </c>
      <c r="D177" s="13" t="s">
        <v>6</v>
      </c>
      <c r="E177" s="13" t="s">
        <v>7</v>
      </c>
      <c r="F177" s="13" t="s">
        <v>81</v>
      </c>
      <c r="G177" s="13">
        <v>8</v>
      </c>
      <c r="H177" s="13" t="str">
        <f t="shared" si="7"/>
        <v>Experienced</v>
      </c>
      <c r="I177" s="13" t="str">
        <f t="shared" si="8"/>
        <v>60000</v>
      </c>
    </row>
    <row r="178" spans="1:9" x14ac:dyDescent="0.25">
      <c r="A178" s="13">
        <v>175</v>
      </c>
      <c r="B178" s="13">
        <v>36</v>
      </c>
      <c r="C178" s="13" t="str">
        <f t="shared" si="6"/>
        <v>Adult</v>
      </c>
      <c r="D178" s="13" t="s">
        <v>6</v>
      </c>
      <c r="E178" s="13" t="s">
        <v>12</v>
      </c>
      <c r="F178" s="13" t="s">
        <v>88</v>
      </c>
      <c r="G178" s="13">
        <v>11</v>
      </c>
      <c r="H178" s="13" t="str">
        <f t="shared" si="7"/>
        <v>Experienced</v>
      </c>
      <c r="I178" s="13" t="str">
        <f t="shared" si="8"/>
        <v>100000</v>
      </c>
    </row>
    <row r="179" spans="1:9" x14ac:dyDescent="0.25">
      <c r="A179" s="13">
        <v>176</v>
      </c>
      <c r="B179" s="13">
        <v>36</v>
      </c>
      <c r="C179" s="13" t="str">
        <f t="shared" si="6"/>
        <v>Adult</v>
      </c>
      <c r="D179" s="13" t="s">
        <v>6</v>
      </c>
      <c r="E179" s="13" t="s">
        <v>7</v>
      </c>
      <c r="F179" s="13" t="s">
        <v>102</v>
      </c>
      <c r="G179" s="13">
        <v>7</v>
      </c>
      <c r="H179" s="13" t="str">
        <f t="shared" si="7"/>
        <v>Experienced</v>
      </c>
      <c r="I179" s="13" t="str">
        <f t="shared" si="8"/>
        <v>60000</v>
      </c>
    </row>
    <row r="180" spans="1:9" x14ac:dyDescent="0.25">
      <c r="A180" s="13">
        <v>177</v>
      </c>
      <c r="B180" s="13">
        <v>36</v>
      </c>
      <c r="C180" s="13" t="str">
        <f t="shared" si="6"/>
        <v>Adult</v>
      </c>
      <c r="D180" s="13" t="s">
        <v>6</v>
      </c>
      <c r="E180" s="13" t="s">
        <v>7</v>
      </c>
      <c r="F180" s="13" t="s">
        <v>123</v>
      </c>
      <c r="G180" s="13">
        <v>7</v>
      </c>
      <c r="H180" s="13" t="str">
        <f t="shared" si="7"/>
        <v>Experienced</v>
      </c>
      <c r="I180" s="13" t="str">
        <f t="shared" si="8"/>
        <v>60000</v>
      </c>
    </row>
    <row r="181" spans="1:9" x14ac:dyDescent="0.25">
      <c r="A181" s="13">
        <v>178</v>
      </c>
      <c r="B181" s="13">
        <v>36</v>
      </c>
      <c r="C181" s="13" t="str">
        <f t="shared" si="6"/>
        <v>Adult</v>
      </c>
      <c r="D181" s="13" t="s">
        <v>6</v>
      </c>
      <c r="E181" s="13" t="s">
        <v>10</v>
      </c>
      <c r="F181" s="13" t="s">
        <v>132</v>
      </c>
      <c r="G181" s="13">
        <v>11</v>
      </c>
      <c r="H181" s="13" t="str">
        <f t="shared" si="7"/>
        <v>Experienced</v>
      </c>
      <c r="I181" s="13" t="str">
        <f t="shared" si="8"/>
        <v>100000</v>
      </c>
    </row>
    <row r="182" spans="1:9" x14ac:dyDescent="0.25">
      <c r="A182" s="13">
        <v>179</v>
      </c>
      <c r="B182" s="13">
        <v>36</v>
      </c>
      <c r="C182" s="13" t="str">
        <f t="shared" si="6"/>
        <v>Adult</v>
      </c>
      <c r="D182" s="13" t="s">
        <v>9</v>
      </c>
      <c r="E182" s="13" t="s">
        <v>7</v>
      </c>
      <c r="F182" s="13" t="s">
        <v>156</v>
      </c>
      <c r="G182" s="13">
        <v>8</v>
      </c>
      <c r="H182" s="13" t="str">
        <f t="shared" si="7"/>
        <v>Experienced</v>
      </c>
      <c r="I182" s="13" t="str">
        <f t="shared" si="8"/>
        <v>60000</v>
      </c>
    </row>
    <row r="183" spans="1:9" x14ac:dyDescent="0.25">
      <c r="A183" s="13">
        <v>180</v>
      </c>
      <c r="B183" s="13">
        <v>36</v>
      </c>
      <c r="C183" s="13" t="str">
        <f t="shared" si="6"/>
        <v>Adult</v>
      </c>
      <c r="D183" s="13" t="s">
        <v>6</v>
      </c>
      <c r="E183" s="13" t="s">
        <v>7</v>
      </c>
      <c r="F183" s="13" t="s">
        <v>129</v>
      </c>
      <c r="G183" s="13">
        <v>7</v>
      </c>
      <c r="H183" s="13" t="str">
        <f t="shared" si="7"/>
        <v>Experienced</v>
      </c>
      <c r="I183" s="13" t="str">
        <f t="shared" si="8"/>
        <v>60000</v>
      </c>
    </row>
    <row r="184" spans="1:9" x14ac:dyDescent="0.25">
      <c r="A184" s="13">
        <v>181</v>
      </c>
      <c r="B184" s="13">
        <v>36</v>
      </c>
      <c r="C184" s="13" t="str">
        <f t="shared" si="6"/>
        <v>Adult</v>
      </c>
      <c r="D184" s="13" t="s">
        <v>6</v>
      </c>
      <c r="E184" s="13" t="s">
        <v>7</v>
      </c>
      <c r="F184" s="13" t="s">
        <v>137</v>
      </c>
      <c r="G184" s="13">
        <v>8</v>
      </c>
      <c r="H184" s="13" t="str">
        <f t="shared" si="7"/>
        <v>Experienced</v>
      </c>
      <c r="I184" s="13" t="str">
        <f t="shared" si="8"/>
        <v>60000</v>
      </c>
    </row>
    <row r="185" spans="1:9" x14ac:dyDescent="0.25">
      <c r="A185" s="13">
        <v>182</v>
      </c>
      <c r="B185" s="13">
        <v>36</v>
      </c>
      <c r="C185" s="13" t="str">
        <f t="shared" si="6"/>
        <v>Adult</v>
      </c>
      <c r="D185" s="13" t="s">
        <v>6</v>
      </c>
      <c r="E185" s="13" t="s">
        <v>7</v>
      </c>
      <c r="F185" s="13" t="s">
        <v>156</v>
      </c>
      <c r="G185" s="13">
        <v>8</v>
      </c>
      <c r="H185" s="13" t="str">
        <f t="shared" si="7"/>
        <v>Experienced</v>
      </c>
      <c r="I185" s="13" t="str">
        <f t="shared" si="8"/>
        <v>60000</v>
      </c>
    </row>
    <row r="186" spans="1:9" x14ac:dyDescent="0.25">
      <c r="A186" s="13">
        <v>183</v>
      </c>
      <c r="B186" s="13">
        <v>36</v>
      </c>
      <c r="C186" s="13" t="str">
        <f t="shared" si="6"/>
        <v>Adult</v>
      </c>
      <c r="D186" s="13" t="s">
        <v>6</v>
      </c>
      <c r="E186" s="13" t="s">
        <v>7</v>
      </c>
      <c r="F186" s="13" t="s">
        <v>113</v>
      </c>
      <c r="G186" s="13">
        <v>8</v>
      </c>
      <c r="H186" s="13" t="str">
        <f t="shared" si="7"/>
        <v>Experienced</v>
      </c>
      <c r="I186" s="13" t="str">
        <f t="shared" si="8"/>
        <v>60000</v>
      </c>
    </row>
    <row r="187" spans="1:9" x14ac:dyDescent="0.25">
      <c r="A187" s="13">
        <v>184</v>
      </c>
      <c r="B187" s="13">
        <v>36</v>
      </c>
      <c r="C187" s="13" t="str">
        <f t="shared" si="6"/>
        <v>Adult</v>
      </c>
      <c r="D187" s="13" t="s">
        <v>6</v>
      </c>
      <c r="E187" s="13" t="s">
        <v>7</v>
      </c>
      <c r="F187" s="13" t="s">
        <v>108</v>
      </c>
      <c r="G187" s="13">
        <v>8</v>
      </c>
      <c r="H187" s="13" t="str">
        <f t="shared" si="7"/>
        <v>Experienced</v>
      </c>
      <c r="I187" s="13" t="str">
        <f t="shared" si="8"/>
        <v>60000</v>
      </c>
    </row>
    <row r="188" spans="1:9" x14ac:dyDescent="0.25">
      <c r="A188" s="13">
        <v>185</v>
      </c>
      <c r="B188" s="13">
        <v>36</v>
      </c>
      <c r="C188" s="13" t="str">
        <f t="shared" si="6"/>
        <v>Adult</v>
      </c>
      <c r="D188" s="13" t="s">
        <v>6</v>
      </c>
      <c r="E188" s="13" t="s">
        <v>7</v>
      </c>
      <c r="F188" s="13" t="s">
        <v>156</v>
      </c>
      <c r="G188" s="13">
        <v>8</v>
      </c>
      <c r="H188" s="13" t="str">
        <f t="shared" si="7"/>
        <v>Experienced</v>
      </c>
      <c r="I188" s="13" t="str">
        <f t="shared" si="8"/>
        <v>60000</v>
      </c>
    </row>
    <row r="189" spans="1:9" x14ac:dyDescent="0.25">
      <c r="A189" s="13">
        <v>186</v>
      </c>
      <c r="B189" s="13">
        <v>36</v>
      </c>
      <c r="C189" s="13" t="str">
        <f t="shared" si="6"/>
        <v>Adult</v>
      </c>
      <c r="D189" s="13" t="s">
        <v>6</v>
      </c>
      <c r="E189" s="13" t="s">
        <v>7</v>
      </c>
      <c r="F189" s="13" t="s">
        <v>137</v>
      </c>
      <c r="G189" s="13">
        <v>9</v>
      </c>
      <c r="H189" s="13" t="str">
        <f t="shared" si="7"/>
        <v>Experienced</v>
      </c>
      <c r="I189" s="13" t="str">
        <f t="shared" si="8"/>
        <v>60000</v>
      </c>
    </row>
    <row r="190" spans="1:9" x14ac:dyDescent="0.25">
      <c r="A190" s="13">
        <v>187</v>
      </c>
      <c r="B190" s="13">
        <v>36</v>
      </c>
      <c r="C190" s="13" t="str">
        <f t="shared" si="6"/>
        <v>Adult</v>
      </c>
      <c r="D190" s="13" t="s">
        <v>9</v>
      </c>
      <c r="E190" s="13" t="s">
        <v>7</v>
      </c>
      <c r="F190" s="13" t="s">
        <v>90</v>
      </c>
      <c r="G190" s="13">
        <v>8</v>
      </c>
      <c r="H190" s="13" t="str">
        <f t="shared" si="7"/>
        <v>Experienced</v>
      </c>
      <c r="I190" s="13" t="str">
        <f t="shared" si="8"/>
        <v>60000</v>
      </c>
    </row>
    <row r="191" spans="1:9" x14ac:dyDescent="0.25">
      <c r="A191" s="13">
        <v>188</v>
      </c>
      <c r="B191" s="13">
        <v>36</v>
      </c>
      <c r="C191" s="13" t="str">
        <f t="shared" si="6"/>
        <v>Adult</v>
      </c>
      <c r="D191" s="13" t="s">
        <v>6</v>
      </c>
      <c r="E191" s="13" t="s">
        <v>7</v>
      </c>
      <c r="F191" s="13" t="s">
        <v>132</v>
      </c>
      <c r="G191" s="13">
        <v>8</v>
      </c>
      <c r="H191" s="13" t="str">
        <f t="shared" si="7"/>
        <v>Experienced</v>
      </c>
      <c r="I191" s="13" t="str">
        <f t="shared" si="8"/>
        <v>60000</v>
      </c>
    </row>
    <row r="192" spans="1:9" x14ac:dyDescent="0.25">
      <c r="A192" s="13">
        <v>189</v>
      </c>
      <c r="B192" s="13">
        <v>36</v>
      </c>
      <c r="C192" s="13" t="str">
        <f t="shared" si="6"/>
        <v>Adult</v>
      </c>
      <c r="D192" s="13" t="s">
        <v>9</v>
      </c>
      <c r="E192" s="13" t="s">
        <v>7</v>
      </c>
      <c r="F192" s="13" t="s">
        <v>90</v>
      </c>
      <c r="G192" s="13">
        <v>8</v>
      </c>
      <c r="H192" s="13" t="str">
        <f t="shared" si="7"/>
        <v>Experienced</v>
      </c>
      <c r="I192" s="13" t="str">
        <f t="shared" si="8"/>
        <v>60000</v>
      </c>
    </row>
    <row r="193" spans="1:9" x14ac:dyDescent="0.25">
      <c r="A193" s="13">
        <v>190</v>
      </c>
      <c r="B193" s="13">
        <v>37</v>
      </c>
      <c r="C193" s="13" t="str">
        <f t="shared" si="6"/>
        <v>Adult</v>
      </c>
      <c r="D193" s="13" t="s">
        <v>9</v>
      </c>
      <c r="E193" s="13" t="s">
        <v>10</v>
      </c>
      <c r="F193" s="13" t="s">
        <v>37</v>
      </c>
      <c r="G193" s="13">
        <v>11</v>
      </c>
      <c r="H193" s="13" t="str">
        <f t="shared" si="7"/>
        <v>Experienced</v>
      </c>
      <c r="I193" s="13" t="str">
        <f t="shared" si="8"/>
        <v>100000</v>
      </c>
    </row>
    <row r="194" spans="1:9" x14ac:dyDescent="0.25">
      <c r="A194" s="13">
        <v>191</v>
      </c>
      <c r="B194" s="13">
        <v>37</v>
      </c>
      <c r="C194" s="13" t="str">
        <f t="shared" si="6"/>
        <v>Adult</v>
      </c>
      <c r="D194" s="13" t="s">
        <v>6</v>
      </c>
      <c r="E194" s="13" t="s">
        <v>7</v>
      </c>
      <c r="F194" s="13" t="s">
        <v>24</v>
      </c>
      <c r="G194" s="13">
        <v>10</v>
      </c>
      <c r="H194" s="13" t="str">
        <f t="shared" si="7"/>
        <v>Experienced</v>
      </c>
      <c r="I194" s="13" t="str">
        <f t="shared" si="8"/>
        <v>60000</v>
      </c>
    </row>
    <row r="195" spans="1:9" x14ac:dyDescent="0.25">
      <c r="A195" s="13">
        <v>192</v>
      </c>
      <c r="B195" s="13">
        <v>37</v>
      </c>
      <c r="C195" s="13" t="str">
        <f t="shared" si="6"/>
        <v>Adult</v>
      </c>
      <c r="D195" s="13" t="s">
        <v>6</v>
      </c>
      <c r="E195" s="13" t="s">
        <v>7</v>
      </c>
      <c r="F195" s="13" t="s">
        <v>106</v>
      </c>
      <c r="G195" s="13">
        <v>9</v>
      </c>
      <c r="H195" s="13" t="str">
        <f t="shared" si="7"/>
        <v>Experienced</v>
      </c>
      <c r="I195" s="13" t="str">
        <f t="shared" si="8"/>
        <v>60000</v>
      </c>
    </row>
    <row r="196" spans="1:9" x14ac:dyDescent="0.25">
      <c r="A196" s="13">
        <v>193</v>
      </c>
      <c r="B196" s="13">
        <v>37</v>
      </c>
      <c r="C196" s="13" t="str">
        <f t="shared" ref="C196:C259" si="9">IF(B196&gt;=50,"Senior",IF(B196&gt;=25,"Adult","Teenager"))</f>
        <v>Adult</v>
      </c>
      <c r="D196" s="13" t="s">
        <v>9</v>
      </c>
      <c r="E196" s="13" t="s">
        <v>10</v>
      </c>
      <c r="F196" s="13" t="s">
        <v>115</v>
      </c>
      <c r="G196" s="13">
        <v>9</v>
      </c>
      <c r="H196" s="13" t="str">
        <f t="shared" si="7"/>
        <v>Experienced</v>
      </c>
      <c r="I196" s="13" t="str">
        <f t="shared" si="8"/>
        <v>60000</v>
      </c>
    </row>
    <row r="197" spans="1:9" x14ac:dyDescent="0.25">
      <c r="A197" s="13">
        <v>194</v>
      </c>
      <c r="B197" s="13">
        <v>37</v>
      </c>
      <c r="C197" s="13" t="str">
        <f t="shared" si="9"/>
        <v>Adult</v>
      </c>
      <c r="D197" s="13" t="s">
        <v>9</v>
      </c>
      <c r="E197" s="13" t="s">
        <v>10</v>
      </c>
      <c r="F197" s="13" t="s">
        <v>103</v>
      </c>
      <c r="G197" s="13">
        <v>9</v>
      </c>
      <c r="H197" s="13" t="str">
        <f t="shared" ref="H197:H260" si="10">IF(G197&gt;=4,"Experienced",IF(G197&lt;=3,"Fresher"))</f>
        <v>Experienced</v>
      </c>
      <c r="I197" s="13" t="str">
        <f t="shared" ref="I197:I260" si="11">IF(G197&lt;=1,"20000",IF(G197&lt;=3,"30000",IF(G197&lt;=10,"60000",IF(G197&lt;=15,"100000",IF(G197&lt;=20,"150000",IF(G197&lt;=25,"200000"))))))</f>
        <v>60000</v>
      </c>
    </row>
    <row r="198" spans="1:9" x14ac:dyDescent="0.25">
      <c r="A198" s="13">
        <v>195</v>
      </c>
      <c r="B198" s="13">
        <v>37</v>
      </c>
      <c r="C198" s="13" t="str">
        <f t="shared" si="9"/>
        <v>Adult</v>
      </c>
      <c r="D198" s="13" t="s">
        <v>6</v>
      </c>
      <c r="E198" s="13" t="s">
        <v>10</v>
      </c>
      <c r="F198" s="13" t="s">
        <v>108</v>
      </c>
      <c r="G198" s="13">
        <v>9</v>
      </c>
      <c r="H198" s="13" t="str">
        <f t="shared" si="10"/>
        <v>Experienced</v>
      </c>
      <c r="I198" s="13" t="str">
        <f t="shared" si="11"/>
        <v>60000</v>
      </c>
    </row>
    <row r="199" spans="1:9" x14ac:dyDescent="0.25">
      <c r="A199" s="13">
        <v>196</v>
      </c>
      <c r="B199" s="13">
        <v>37</v>
      </c>
      <c r="C199" s="13" t="str">
        <f t="shared" si="9"/>
        <v>Adult</v>
      </c>
      <c r="D199" s="13" t="s">
        <v>6</v>
      </c>
      <c r="E199" s="13" t="s">
        <v>10</v>
      </c>
      <c r="F199" s="13" t="s">
        <v>175</v>
      </c>
      <c r="G199" s="13">
        <v>9</v>
      </c>
      <c r="H199" s="13" t="str">
        <f t="shared" si="10"/>
        <v>Experienced</v>
      </c>
      <c r="I199" s="13" t="str">
        <f t="shared" si="11"/>
        <v>60000</v>
      </c>
    </row>
    <row r="200" spans="1:9" x14ac:dyDescent="0.25">
      <c r="A200" s="13">
        <v>197</v>
      </c>
      <c r="B200" s="13">
        <v>37</v>
      </c>
      <c r="C200" s="13" t="str">
        <f t="shared" si="9"/>
        <v>Adult</v>
      </c>
      <c r="D200" s="13" t="s">
        <v>9</v>
      </c>
      <c r="E200" s="13" t="s">
        <v>7</v>
      </c>
      <c r="F200" s="13" t="s">
        <v>73</v>
      </c>
      <c r="G200" s="13">
        <v>9</v>
      </c>
      <c r="H200" s="13" t="str">
        <f t="shared" si="10"/>
        <v>Experienced</v>
      </c>
      <c r="I200" s="13" t="str">
        <f t="shared" si="11"/>
        <v>60000</v>
      </c>
    </row>
    <row r="201" spans="1:9" x14ac:dyDescent="0.25">
      <c r="A201" s="13">
        <v>198</v>
      </c>
      <c r="B201" s="13">
        <v>37</v>
      </c>
      <c r="C201" s="13" t="str">
        <f t="shared" si="9"/>
        <v>Adult</v>
      </c>
      <c r="D201" s="13" t="s">
        <v>9</v>
      </c>
      <c r="E201" s="13" t="s">
        <v>7</v>
      </c>
      <c r="F201" s="13" t="s">
        <v>177</v>
      </c>
      <c r="G201" s="13">
        <v>10</v>
      </c>
      <c r="H201" s="13" t="str">
        <f t="shared" si="10"/>
        <v>Experienced</v>
      </c>
      <c r="I201" s="13" t="str">
        <f t="shared" si="11"/>
        <v>60000</v>
      </c>
    </row>
    <row r="202" spans="1:9" x14ac:dyDescent="0.25">
      <c r="A202" s="13">
        <v>199</v>
      </c>
      <c r="B202" s="13">
        <v>37</v>
      </c>
      <c r="C202" s="13" t="str">
        <f t="shared" si="9"/>
        <v>Adult</v>
      </c>
      <c r="D202" s="13" t="s">
        <v>6</v>
      </c>
      <c r="E202" s="13" t="s">
        <v>7</v>
      </c>
      <c r="F202" s="13" t="s">
        <v>73</v>
      </c>
      <c r="G202" s="13">
        <v>8</v>
      </c>
      <c r="H202" s="13" t="str">
        <f t="shared" si="10"/>
        <v>Experienced</v>
      </c>
      <c r="I202" s="13" t="str">
        <f t="shared" si="11"/>
        <v>60000</v>
      </c>
    </row>
    <row r="203" spans="1:9" x14ac:dyDescent="0.25">
      <c r="A203" s="13">
        <v>200</v>
      </c>
      <c r="B203" s="13">
        <v>37</v>
      </c>
      <c r="C203" s="13" t="str">
        <f t="shared" si="9"/>
        <v>Adult</v>
      </c>
      <c r="D203" s="13" t="s">
        <v>6</v>
      </c>
      <c r="E203" s="13" t="s">
        <v>7</v>
      </c>
      <c r="F203" s="13" t="s">
        <v>103</v>
      </c>
      <c r="G203" s="13">
        <v>9</v>
      </c>
      <c r="H203" s="13" t="str">
        <f t="shared" si="10"/>
        <v>Experienced</v>
      </c>
      <c r="I203" s="13" t="str">
        <f t="shared" si="11"/>
        <v>60000</v>
      </c>
    </row>
    <row r="204" spans="1:9" x14ac:dyDescent="0.25">
      <c r="A204" s="13">
        <v>201</v>
      </c>
      <c r="B204" s="13">
        <v>37</v>
      </c>
      <c r="C204" s="13" t="str">
        <f t="shared" si="9"/>
        <v>Adult</v>
      </c>
      <c r="D204" s="13" t="s">
        <v>6</v>
      </c>
      <c r="E204" s="13" t="s">
        <v>7</v>
      </c>
      <c r="F204" s="13" t="s">
        <v>132</v>
      </c>
      <c r="G204" s="13">
        <v>10</v>
      </c>
      <c r="H204" s="13" t="str">
        <f t="shared" si="10"/>
        <v>Experienced</v>
      </c>
      <c r="I204" s="13" t="str">
        <f t="shared" si="11"/>
        <v>60000</v>
      </c>
    </row>
    <row r="205" spans="1:9" x14ac:dyDescent="0.25">
      <c r="A205" s="13">
        <v>202</v>
      </c>
      <c r="B205" s="13">
        <v>38</v>
      </c>
      <c r="C205" s="13" t="str">
        <f t="shared" si="9"/>
        <v>Adult</v>
      </c>
      <c r="D205" s="13" t="s">
        <v>6</v>
      </c>
      <c r="E205" s="13" t="s">
        <v>12</v>
      </c>
      <c r="F205" s="13" t="s">
        <v>20</v>
      </c>
      <c r="G205" s="13">
        <v>10</v>
      </c>
      <c r="H205" s="13" t="str">
        <f t="shared" si="10"/>
        <v>Experienced</v>
      </c>
      <c r="I205" s="13" t="str">
        <f t="shared" si="11"/>
        <v>60000</v>
      </c>
    </row>
    <row r="206" spans="1:9" x14ac:dyDescent="0.25">
      <c r="A206" s="13">
        <v>203</v>
      </c>
      <c r="B206" s="13">
        <v>38</v>
      </c>
      <c r="C206" s="13" t="str">
        <f t="shared" si="9"/>
        <v>Adult</v>
      </c>
      <c r="D206" s="13" t="s">
        <v>6</v>
      </c>
      <c r="E206" s="13" t="s">
        <v>12</v>
      </c>
      <c r="F206" s="13" t="s">
        <v>20</v>
      </c>
      <c r="G206" s="13">
        <v>11</v>
      </c>
      <c r="H206" s="13" t="str">
        <f t="shared" si="10"/>
        <v>Experienced</v>
      </c>
      <c r="I206" s="13" t="str">
        <f t="shared" si="11"/>
        <v>100000</v>
      </c>
    </row>
    <row r="207" spans="1:9" x14ac:dyDescent="0.25">
      <c r="A207" s="13">
        <v>204</v>
      </c>
      <c r="B207" s="13">
        <v>38</v>
      </c>
      <c r="C207" s="13" t="str">
        <f t="shared" si="9"/>
        <v>Adult</v>
      </c>
      <c r="D207" s="13" t="s">
        <v>9</v>
      </c>
      <c r="E207" s="13" t="s">
        <v>10</v>
      </c>
      <c r="F207" s="13" t="s">
        <v>69</v>
      </c>
      <c r="G207" s="13">
        <v>10</v>
      </c>
      <c r="H207" s="13" t="str">
        <f t="shared" si="10"/>
        <v>Experienced</v>
      </c>
      <c r="I207" s="13" t="str">
        <f t="shared" si="11"/>
        <v>60000</v>
      </c>
    </row>
    <row r="208" spans="1:9" x14ac:dyDescent="0.25">
      <c r="A208" s="13">
        <v>205</v>
      </c>
      <c r="B208" s="13">
        <v>38</v>
      </c>
      <c r="C208" s="13" t="str">
        <f t="shared" si="9"/>
        <v>Adult</v>
      </c>
      <c r="D208" s="13" t="s">
        <v>9</v>
      </c>
      <c r="E208" s="13" t="s">
        <v>10</v>
      </c>
      <c r="F208" s="13" t="s">
        <v>94</v>
      </c>
      <c r="G208" s="13">
        <v>10</v>
      </c>
      <c r="H208" s="13" t="str">
        <f t="shared" si="10"/>
        <v>Experienced</v>
      </c>
      <c r="I208" s="13" t="str">
        <f t="shared" si="11"/>
        <v>60000</v>
      </c>
    </row>
    <row r="209" spans="1:9" x14ac:dyDescent="0.25">
      <c r="A209" s="13">
        <v>206</v>
      </c>
      <c r="B209" s="13">
        <v>38</v>
      </c>
      <c r="C209" s="13" t="str">
        <f t="shared" si="9"/>
        <v>Adult</v>
      </c>
      <c r="D209" s="13" t="s">
        <v>6</v>
      </c>
      <c r="E209" s="13" t="s">
        <v>7</v>
      </c>
      <c r="F209" s="13" t="s">
        <v>59</v>
      </c>
      <c r="G209" s="13">
        <v>11</v>
      </c>
      <c r="H209" s="13" t="str">
        <f t="shared" si="10"/>
        <v>Experienced</v>
      </c>
      <c r="I209" s="13" t="str">
        <f t="shared" si="11"/>
        <v>100000</v>
      </c>
    </row>
    <row r="210" spans="1:9" x14ac:dyDescent="0.25">
      <c r="A210" s="13">
        <v>207</v>
      </c>
      <c r="B210" s="13">
        <v>38</v>
      </c>
      <c r="C210" s="13" t="str">
        <f t="shared" si="9"/>
        <v>Adult</v>
      </c>
      <c r="D210" s="13" t="s">
        <v>9</v>
      </c>
      <c r="E210" s="13" t="s">
        <v>7</v>
      </c>
      <c r="F210" s="13" t="s">
        <v>129</v>
      </c>
      <c r="G210" s="13">
        <v>10</v>
      </c>
      <c r="H210" s="13" t="str">
        <f t="shared" si="10"/>
        <v>Experienced</v>
      </c>
      <c r="I210" s="13" t="str">
        <f t="shared" si="11"/>
        <v>60000</v>
      </c>
    </row>
    <row r="211" spans="1:9" x14ac:dyDescent="0.25">
      <c r="A211" s="13">
        <v>208</v>
      </c>
      <c r="B211" s="13">
        <v>38</v>
      </c>
      <c r="C211" s="13" t="str">
        <f t="shared" si="9"/>
        <v>Adult</v>
      </c>
      <c r="D211" s="13" t="s">
        <v>9</v>
      </c>
      <c r="E211" s="13" t="s">
        <v>7</v>
      </c>
      <c r="F211" s="13" t="s">
        <v>153</v>
      </c>
      <c r="G211" s="13">
        <v>10</v>
      </c>
      <c r="H211" s="13" t="str">
        <f t="shared" si="10"/>
        <v>Experienced</v>
      </c>
      <c r="I211" s="13" t="str">
        <f t="shared" si="11"/>
        <v>60000</v>
      </c>
    </row>
    <row r="212" spans="1:9" x14ac:dyDescent="0.25">
      <c r="A212" s="13">
        <v>209</v>
      </c>
      <c r="B212" s="13">
        <v>38</v>
      </c>
      <c r="C212" s="13" t="str">
        <f t="shared" si="9"/>
        <v>Adult</v>
      </c>
      <c r="D212" s="13" t="s">
        <v>6</v>
      </c>
      <c r="E212" s="13" t="s">
        <v>10</v>
      </c>
      <c r="F212" s="13" t="s">
        <v>169</v>
      </c>
      <c r="G212" s="13">
        <v>9</v>
      </c>
      <c r="H212" s="13" t="str">
        <f t="shared" si="10"/>
        <v>Experienced</v>
      </c>
      <c r="I212" s="13" t="str">
        <f t="shared" si="11"/>
        <v>60000</v>
      </c>
    </row>
    <row r="213" spans="1:9" x14ac:dyDescent="0.25">
      <c r="A213" s="13">
        <v>210</v>
      </c>
      <c r="B213" s="13">
        <v>38</v>
      </c>
      <c r="C213" s="13" t="str">
        <f t="shared" si="9"/>
        <v>Adult</v>
      </c>
      <c r="D213" s="13" t="s">
        <v>9</v>
      </c>
      <c r="E213" s="13" t="s">
        <v>7</v>
      </c>
      <c r="F213" s="13" t="s">
        <v>113</v>
      </c>
      <c r="G213" s="13">
        <v>10</v>
      </c>
      <c r="H213" s="13" t="str">
        <f t="shared" si="10"/>
        <v>Experienced</v>
      </c>
      <c r="I213" s="13" t="str">
        <f t="shared" si="11"/>
        <v>60000</v>
      </c>
    </row>
    <row r="214" spans="1:9" x14ac:dyDescent="0.25">
      <c r="A214" s="13">
        <v>211</v>
      </c>
      <c r="B214" s="13">
        <v>38</v>
      </c>
      <c r="C214" s="13" t="str">
        <f t="shared" si="9"/>
        <v>Adult</v>
      </c>
      <c r="D214" s="13" t="s">
        <v>6</v>
      </c>
      <c r="E214" s="13" t="s">
        <v>10</v>
      </c>
      <c r="F214" s="13" t="s">
        <v>169</v>
      </c>
      <c r="G214" s="13">
        <v>9</v>
      </c>
      <c r="H214" s="13" t="str">
        <f t="shared" si="10"/>
        <v>Experienced</v>
      </c>
      <c r="I214" s="13" t="str">
        <f t="shared" si="11"/>
        <v>60000</v>
      </c>
    </row>
    <row r="215" spans="1:9" x14ac:dyDescent="0.25">
      <c r="A215" s="13">
        <v>212</v>
      </c>
      <c r="B215" s="13">
        <v>38</v>
      </c>
      <c r="C215" s="13" t="str">
        <f t="shared" si="9"/>
        <v>Adult</v>
      </c>
      <c r="D215" s="13" t="s">
        <v>9</v>
      </c>
      <c r="E215" s="13" t="s">
        <v>7</v>
      </c>
      <c r="F215" s="13" t="s">
        <v>87</v>
      </c>
      <c r="G215" s="13">
        <v>9</v>
      </c>
      <c r="H215" s="13" t="str">
        <f t="shared" si="10"/>
        <v>Experienced</v>
      </c>
      <c r="I215" s="13" t="str">
        <f t="shared" si="11"/>
        <v>60000</v>
      </c>
    </row>
    <row r="216" spans="1:9" x14ac:dyDescent="0.25">
      <c r="A216" s="13">
        <v>213</v>
      </c>
      <c r="B216" s="13">
        <v>38</v>
      </c>
      <c r="C216" s="13" t="str">
        <f t="shared" si="9"/>
        <v>Adult</v>
      </c>
      <c r="D216" s="13" t="s">
        <v>9</v>
      </c>
      <c r="E216" s="13" t="s">
        <v>7</v>
      </c>
      <c r="F216" s="13" t="s">
        <v>108</v>
      </c>
      <c r="G216" s="13">
        <v>10</v>
      </c>
      <c r="H216" s="13" t="str">
        <f t="shared" si="10"/>
        <v>Experienced</v>
      </c>
      <c r="I216" s="13" t="str">
        <f t="shared" si="11"/>
        <v>60000</v>
      </c>
    </row>
    <row r="217" spans="1:9" x14ac:dyDescent="0.25">
      <c r="A217" s="13">
        <v>214</v>
      </c>
      <c r="B217" s="13">
        <v>38</v>
      </c>
      <c r="C217" s="13" t="str">
        <f t="shared" si="9"/>
        <v>Adult</v>
      </c>
      <c r="D217" s="13" t="s">
        <v>9</v>
      </c>
      <c r="E217" s="13" t="s">
        <v>7</v>
      </c>
      <c r="F217" s="13" t="s">
        <v>182</v>
      </c>
      <c r="G217" s="13">
        <v>9</v>
      </c>
      <c r="H217" s="13" t="str">
        <f t="shared" si="10"/>
        <v>Experienced</v>
      </c>
      <c r="I217" s="13" t="str">
        <f t="shared" si="11"/>
        <v>60000</v>
      </c>
    </row>
    <row r="218" spans="1:9" x14ac:dyDescent="0.25">
      <c r="A218" s="13">
        <v>215</v>
      </c>
      <c r="B218" s="13">
        <v>38</v>
      </c>
      <c r="C218" s="13" t="str">
        <f t="shared" si="9"/>
        <v>Adult</v>
      </c>
      <c r="D218" s="13" t="s">
        <v>9</v>
      </c>
      <c r="E218" s="13" t="s">
        <v>7</v>
      </c>
      <c r="F218" s="13" t="s">
        <v>108</v>
      </c>
      <c r="G218" s="13">
        <v>10</v>
      </c>
      <c r="H218" s="13" t="str">
        <f t="shared" si="10"/>
        <v>Experienced</v>
      </c>
      <c r="I218" s="13" t="str">
        <f t="shared" si="11"/>
        <v>60000</v>
      </c>
    </row>
    <row r="219" spans="1:9" x14ac:dyDescent="0.25">
      <c r="A219" s="13">
        <v>216</v>
      </c>
      <c r="B219" s="13">
        <v>38</v>
      </c>
      <c r="C219" s="13" t="str">
        <f t="shared" si="9"/>
        <v>Adult</v>
      </c>
      <c r="D219" s="13" t="s">
        <v>9</v>
      </c>
      <c r="E219" s="13" t="s">
        <v>7</v>
      </c>
      <c r="F219" s="13" t="s">
        <v>108</v>
      </c>
      <c r="G219" s="13">
        <v>10</v>
      </c>
      <c r="H219" s="13" t="str">
        <f t="shared" si="10"/>
        <v>Experienced</v>
      </c>
      <c r="I219" s="13" t="str">
        <f t="shared" si="11"/>
        <v>60000</v>
      </c>
    </row>
    <row r="220" spans="1:9" x14ac:dyDescent="0.25">
      <c r="A220" s="13">
        <v>217</v>
      </c>
      <c r="B220" s="13">
        <v>39</v>
      </c>
      <c r="C220" s="13" t="str">
        <f t="shared" si="9"/>
        <v>Adult</v>
      </c>
      <c r="D220" s="13" t="s">
        <v>6</v>
      </c>
      <c r="E220" s="13" t="s">
        <v>12</v>
      </c>
      <c r="F220" s="13" t="s">
        <v>28</v>
      </c>
      <c r="G220" s="13">
        <v>12</v>
      </c>
      <c r="H220" s="13" t="str">
        <f t="shared" si="10"/>
        <v>Experienced</v>
      </c>
      <c r="I220" s="13" t="str">
        <f t="shared" si="11"/>
        <v>100000</v>
      </c>
    </row>
    <row r="221" spans="1:9" x14ac:dyDescent="0.25">
      <c r="A221" s="13">
        <v>218</v>
      </c>
      <c r="B221" s="13">
        <v>39</v>
      </c>
      <c r="C221" s="13" t="str">
        <f t="shared" si="9"/>
        <v>Adult</v>
      </c>
      <c r="D221" s="13" t="s">
        <v>9</v>
      </c>
      <c r="E221" s="13" t="s">
        <v>7</v>
      </c>
      <c r="F221" s="13" t="s">
        <v>44</v>
      </c>
      <c r="G221" s="13">
        <v>10</v>
      </c>
      <c r="H221" s="13" t="str">
        <f t="shared" si="10"/>
        <v>Experienced</v>
      </c>
      <c r="I221" s="13" t="str">
        <f t="shared" si="11"/>
        <v>60000</v>
      </c>
    </row>
    <row r="222" spans="1:9" x14ac:dyDescent="0.25">
      <c r="A222" s="13">
        <v>219</v>
      </c>
      <c r="B222" s="13">
        <v>39</v>
      </c>
      <c r="C222" s="13" t="str">
        <f t="shared" si="9"/>
        <v>Adult</v>
      </c>
      <c r="D222" s="13" t="s">
        <v>9</v>
      </c>
      <c r="E222" s="13" t="s">
        <v>7</v>
      </c>
      <c r="F222" s="13" t="s">
        <v>34</v>
      </c>
      <c r="G222" s="13">
        <v>11</v>
      </c>
      <c r="H222" s="13" t="str">
        <f t="shared" si="10"/>
        <v>Experienced</v>
      </c>
      <c r="I222" s="13" t="str">
        <f t="shared" si="11"/>
        <v>100000</v>
      </c>
    </row>
    <row r="223" spans="1:9" x14ac:dyDescent="0.25">
      <c r="A223" s="13">
        <v>220</v>
      </c>
      <c r="B223" s="13">
        <v>39</v>
      </c>
      <c r="C223" s="13" t="str">
        <f t="shared" si="9"/>
        <v>Adult</v>
      </c>
      <c r="D223" s="13" t="s">
        <v>9</v>
      </c>
      <c r="E223" s="13" t="s">
        <v>7</v>
      </c>
      <c r="F223" s="13" t="s">
        <v>91</v>
      </c>
      <c r="G223" s="13">
        <v>12</v>
      </c>
      <c r="H223" s="13" t="str">
        <f t="shared" si="10"/>
        <v>Experienced</v>
      </c>
      <c r="I223" s="13" t="str">
        <f t="shared" si="11"/>
        <v>100000</v>
      </c>
    </row>
    <row r="224" spans="1:9" x14ac:dyDescent="0.25">
      <c r="A224" s="13">
        <v>221</v>
      </c>
      <c r="B224" s="13">
        <v>39</v>
      </c>
      <c r="C224" s="13" t="str">
        <f t="shared" si="9"/>
        <v>Adult</v>
      </c>
      <c r="D224" s="13" t="s">
        <v>9</v>
      </c>
      <c r="E224" s="13" t="s">
        <v>10</v>
      </c>
      <c r="F224" s="13" t="s">
        <v>99</v>
      </c>
      <c r="G224" s="13">
        <v>13</v>
      </c>
      <c r="H224" s="13" t="str">
        <f t="shared" si="10"/>
        <v>Experienced</v>
      </c>
      <c r="I224" s="13" t="str">
        <f t="shared" si="11"/>
        <v>100000</v>
      </c>
    </row>
    <row r="225" spans="1:9" x14ac:dyDescent="0.25">
      <c r="A225" s="13">
        <v>222</v>
      </c>
      <c r="B225" s="13">
        <v>39</v>
      </c>
      <c r="C225" s="13" t="str">
        <f t="shared" si="9"/>
        <v>Adult</v>
      </c>
      <c r="D225" s="13" t="s">
        <v>9</v>
      </c>
      <c r="E225" s="13" t="s">
        <v>7</v>
      </c>
      <c r="F225" s="13" t="s">
        <v>53</v>
      </c>
      <c r="G225" s="13">
        <v>10</v>
      </c>
      <c r="H225" s="13" t="str">
        <f t="shared" si="10"/>
        <v>Experienced</v>
      </c>
      <c r="I225" s="13" t="str">
        <f t="shared" si="11"/>
        <v>60000</v>
      </c>
    </row>
    <row r="226" spans="1:9" x14ac:dyDescent="0.25">
      <c r="A226" s="13">
        <v>223</v>
      </c>
      <c r="B226" s="13">
        <v>39</v>
      </c>
      <c r="C226" s="13" t="str">
        <f t="shared" si="9"/>
        <v>Adult</v>
      </c>
      <c r="D226" s="13" t="s">
        <v>9</v>
      </c>
      <c r="E226" s="13" t="s">
        <v>7</v>
      </c>
      <c r="F226" s="13" t="s">
        <v>140</v>
      </c>
      <c r="G226" s="13">
        <v>12</v>
      </c>
      <c r="H226" s="13" t="str">
        <f t="shared" si="10"/>
        <v>Experienced</v>
      </c>
      <c r="I226" s="13" t="str">
        <f t="shared" si="11"/>
        <v>100000</v>
      </c>
    </row>
    <row r="227" spans="1:9" x14ac:dyDescent="0.25">
      <c r="A227" s="13">
        <v>224</v>
      </c>
      <c r="B227" s="13">
        <v>39</v>
      </c>
      <c r="C227" s="13" t="str">
        <f t="shared" si="9"/>
        <v>Adult</v>
      </c>
      <c r="D227" s="13" t="s">
        <v>9</v>
      </c>
      <c r="E227" s="13" t="s">
        <v>7</v>
      </c>
      <c r="F227" s="13" t="s">
        <v>160</v>
      </c>
      <c r="G227" s="13">
        <v>12</v>
      </c>
      <c r="H227" s="13" t="str">
        <f t="shared" si="10"/>
        <v>Experienced</v>
      </c>
      <c r="I227" s="13" t="str">
        <f t="shared" si="11"/>
        <v>100000</v>
      </c>
    </row>
    <row r="228" spans="1:9" x14ac:dyDescent="0.25">
      <c r="A228" s="13">
        <v>225</v>
      </c>
      <c r="B228" s="13">
        <v>39</v>
      </c>
      <c r="C228" s="13" t="str">
        <f t="shared" si="9"/>
        <v>Adult</v>
      </c>
      <c r="D228" s="13" t="s">
        <v>9</v>
      </c>
      <c r="E228" s="13" t="s">
        <v>7</v>
      </c>
      <c r="F228" s="13" t="s">
        <v>137</v>
      </c>
      <c r="G228" s="13">
        <v>10</v>
      </c>
      <c r="H228" s="13" t="str">
        <f t="shared" si="10"/>
        <v>Experienced</v>
      </c>
      <c r="I228" s="13" t="str">
        <f t="shared" si="11"/>
        <v>60000</v>
      </c>
    </row>
    <row r="229" spans="1:9" x14ac:dyDescent="0.25">
      <c r="A229" s="13">
        <v>226</v>
      </c>
      <c r="B229" s="13">
        <v>39</v>
      </c>
      <c r="C229" s="13" t="str">
        <f t="shared" si="9"/>
        <v>Adult</v>
      </c>
      <c r="D229" s="13" t="s">
        <v>6</v>
      </c>
      <c r="E229" s="13" t="s">
        <v>7</v>
      </c>
      <c r="F229" s="13" t="s">
        <v>156</v>
      </c>
      <c r="G229" s="13">
        <v>10</v>
      </c>
      <c r="H229" s="13" t="str">
        <f t="shared" si="10"/>
        <v>Experienced</v>
      </c>
      <c r="I229" s="13" t="str">
        <f t="shared" si="11"/>
        <v>60000</v>
      </c>
    </row>
    <row r="230" spans="1:9" x14ac:dyDescent="0.25">
      <c r="A230" s="13">
        <v>227</v>
      </c>
      <c r="B230" s="13">
        <v>39</v>
      </c>
      <c r="C230" s="13" t="str">
        <f t="shared" si="9"/>
        <v>Adult</v>
      </c>
      <c r="D230" s="13" t="s">
        <v>9</v>
      </c>
      <c r="E230" s="13" t="s">
        <v>7</v>
      </c>
      <c r="F230" s="13" t="s">
        <v>143</v>
      </c>
      <c r="G230" s="13">
        <v>9</v>
      </c>
      <c r="H230" s="13" t="str">
        <f t="shared" si="10"/>
        <v>Experienced</v>
      </c>
      <c r="I230" s="13" t="str">
        <f t="shared" si="11"/>
        <v>60000</v>
      </c>
    </row>
    <row r="231" spans="1:9" x14ac:dyDescent="0.25">
      <c r="A231" s="13">
        <v>228</v>
      </c>
      <c r="B231" s="13">
        <v>39</v>
      </c>
      <c r="C231" s="13" t="str">
        <f t="shared" si="9"/>
        <v>Adult</v>
      </c>
      <c r="D231" s="13" t="s">
        <v>9</v>
      </c>
      <c r="E231" s="13" t="s">
        <v>7</v>
      </c>
      <c r="F231" s="13" t="s">
        <v>87</v>
      </c>
      <c r="G231" s="13">
        <v>12</v>
      </c>
      <c r="H231" s="13" t="str">
        <f t="shared" si="10"/>
        <v>Experienced</v>
      </c>
      <c r="I231" s="13" t="str">
        <f t="shared" si="11"/>
        <v>100000</v>
      </c>
    </row>
    <row r="232" spans="1:9" x14ac:dyDescent="0.25">
      <c r="A232" s="13">
        <v>229</v>
      </c>
      <c r="B232" s="13">
        <v>40</v>
      </c>
      <c r="C232" s="13" t="str">
        <f t="shared" si="9"/>
        <v>Adult</v>
      </c>
      <c r="D232" s="13" t="s">
        <v>9</v>
      </c>
      <c r="E232" s="13" t="s">
        <v>10</v>
      </c>
      <c r="F232" s="13" t="s">
        <v>24</v>
      </c>
      <c r="G232" s="13">
        <v>14</v>
      </c>
      <c r="H232" s="13" t="str">
        <f t="shared" si="10"/>
        <v>Experienced</v>
      </c>
      <c r="I232" s="13" t="str">
        <f t="shared" si="11"/>
        <v>100000</v>
      </c>
    </row>
    <row r="233" spans="1:9" x14ac:dyDescent="0.25">
      <c r="A233" s="13">
        <v>230</v>
      </c>
      <c r="B233" s="13">
        <v>40</v>
      </c>
      <c r="C233" s="13" t="str">
        <f t="shared" si="9"/>
        <v>Adult</v>
      </c>
      <c r="D233" s="13" t="s">
        <v>9</v>
      </c>
      <c r="E233" s="13" t="s">
        <v>7</v>
      </c>
      <c r="F233" s="13" t="s">
        <v>61</v>
      </c>
      <c r="G233" s="13">
        <v>12</v>
      </c>
      <c r="H233" s="13" t="str">
        <f t="shared" si="10"/>
        <v>Experienced</v>
      </c>
      <c r="I233" s="13" t="str">
        <f t="shared" si="11"/>
        <v>100000</v>
      </c>
    </row>
    <row r="234" spans="1:9" x14ac:dyDescent="0.25">
      <c r="A234" s="13">
        <v>231</v>
      </c>
      <c r="B234" s="13">
        <v>40</v>
      </c>
      <c r="C234" s="13" t="str">
        <f t="shared" si="9"/>
        <v>Adult</v>
      </c>
      <c r="D234" s="13" t="s">
        <v>9</v>
      </c>
      <c r="E234" s="13" t="s">
        <v>7</v>
      </c>
      <c r="F234" s="13" t="s">
        <v>22</v>
      </c>
      <c r="G234" s="13">
        <v>12</v>
      </c>
      <c r="H234" s="13" t="str">
        <f t="shared" si="10"/>
        <v>Experienced</v>
      </c>
      <c r="I234" s="13" t="str">
        <f t="shared" si="11"/>
        <v>100000</v>
      </c>
    </row>
    <row r="235" spans="1:9" x14ac:dyDescent="0.25">
      <c r="A235" s="13">
        <v>232</v>
      </c>
      <c r="B235" s="13">
        <v>40</v>
      </c>
      <c r="C235" s="13" t="str">
        <f t="shared" si="9"/>
        <v>Adult</v>
      </c>
      <c r="D235" s="13" t="s">
        <v>9</v>
      </c>
      <c r="E235" s="13" t="s">
        <v>7</v>
      </c>
      <c r="F235" s="13" t="s">
        <v>46</v>
      </c>
      <c r="G235" s="13">
        <v>15</v>
      </c>
      <c r="H235" s="13" t="str">
        <f t="shared" si="10"/>
        <v>Experienced</v>
      </c>
      <c r="I235" s="13" t="str">
        <f t="shared" si="11"/>
        <v>100000</v>
      </c>
    </row>
    <row r="236" spans="1:9" x14ac:dyDescent="0.25">
      <c r="A236" s="13">
        <v>233</v>
      </c>
      <c r="B236" s="13">
        <v>40</v>
      </c>
      <c r="C236" s="13" t="str">
        <f t="shared" si="9"/>
        <v>Adult</v>
      </c>
      <c r="D236" s="13" t="s">
        <v>9</v>
      </c>
      <c r="E236" s="13" t="s">
        <v>7</v>
      </c>
      <c r="F236" s="13" t="s">
        <v>110</v>
      </c>
      <c r="G236" s="13">
        <v>15</v>
      </c>
      <c r="H236" s="13" t="str">
        <f t="shared" si="10"/>
        <v>Experienced</v>
      </c>
      <c r="I236" s="13" t="str">
        <f t="shared" si="11"/>
        <v>100000</v>
      </c>
    </row>
    <row r="237" spans="1:9" x14ac:dyDescent="0.25">
      <c r="A237" s="13">
        <v>234</v>
      </c>
      <c r="B237" s="13">
        <v>40</v>
      </c>
      <c r="C237" s="13" t="str">
        <f t="shared" si="9"/>
        <v>Adult</v>
      </c>
      <c r="D237" s="13" t="s">
        <v>9</v>
      </c>
      <c r="E237" s="13" t="s">
        <v>10</v>
      </c>
      <c r="F237" s="13" t="s">
        <v>119</v>
      </c>
      <c r="G237" s="13">
        <v>12</v>
      </c>
      <c r="H237" s="13" t="str">
        <f t="shared" si="10"/>
        <v>Experienced</v>
      </c>
      <c r="I237" s="13" t="str">
        <f t="shared" si="11"/>
        <v>100000</v>
      </c>
    </row>
    <row r="238" spans="1:9" x14ac:dyDescent="0.25">
      <c r="A238" s="13">
        <v>235</v>
      </c>
      <c r="B238" s="13">
        <v>40</v>
      </c>
      <c r="C238" s="13" t="str">
        <f t="shared" si="9"/>
        <v>Adult</v>
      </c>
      <c r="D238" s="13" t="s">
        <v>9</v>
      </c>
      <c r="E238" s="13" t="s">
        <v>7</v>
      </c>
      <c r="F238" s="13" t="s">
        <v>146</v>
      </c>
      <c r="G238" s="13">
        <v>14</v>
      </c>
      <c r="H238" s="13" t="str">
        <f t="shared" si="10"/>
        <v>Experienced</v>
      </c>
      <c r="I238" s="13" t="str">
        <f t="shared" si="11"/>
        <v>100000</v>
      </c>
    </row>
    <row r="239" spans="1:9" x14ac:dyDescent="0.25">
      <c r="A239" s="13">
        <v>236</v>
      </c>
      <c r="B239" s="13">
        <v>40</v>
      </c>
      <c r="C239" s="13" t="str">
        <f t="shared" si="9"/>
        <v>Adult</v>
      </c>
      <c r="D239" s="13" t="s">
        <v>9</v>
      </c>
      <c r="E239" s="13" t="s">
        <v>10</v>
      </c>
      <c r="F239" s="13" t="s">
        <v>163</v>
      </c>
      <c r="G239" s="13">
        <v>13</v>
      </c>
      <c r="H239" s="13" t="str">
        <f t="shared" si="10"/>
        <v>Experienced</v>
      </c>
      <c r="I239" s="13" t="str">
        <f t="shared" si="11"/>
        <v>100000</v>
      </c>
    </row>
    <row r="240" spans="1:9" x14ac:dyDescent="0.25">
      <c r="A240" s="13">
        <v>237</v>
      </c>
      <c r="B240" s="13">
        <v>40</v>
      </c>
      <c r="C240" s="13" t="str">
        <f t="shared" si="9"/>
        <v>Adult</v>
      </c>
      <c r="D240" s="13" t="s">
        <v>9</v>
      </c>
      <c r="E240" s="13" t="s">
        <v>7</v>
      </c>
      <c r="F240" s="13" t="s">
        <v>140</v>
      </c>
      <c r="G240" s="13">
        <v>12</v>
      </c>
      <c r="H240" s="13" t="str">
        <f t="shared" si="10"/>
        <v>Experienced</v>
      </c>
      <c r="I240" s="13" t="str">
        <f t="shared" si="11"/>
        <v>100000</v>
      </c>
    </row>
    <row r="241" spans="1:9" x14ac:dyDescent="0.25">
      <c r="A241" s="13">
        <v>238</v>
      </c>
      <c r="B241" s="13">
        <v>40</v>
      </c>
      <c r="C241" s="13" t="str">
        <f t="shared" si="9"/>
        <v>Adult</v>
      </c>
      <c r="D241" s="13" t="s">
        <v>9</v>
      </c>
      <c r="E241" s="13" t="s">
        <v>7</v>
      </c>
      <c r="F241" s="13" t="s">
        <v>90</v>
      </c>
      <c r="G241" s="13">
        <v>11</v>
      </c>
      <c r="H241" s="13" t="str">
        <f t="shared" si="10"/>
        <v>Experienced</v>
      </c>
      <c r="I241" s="13" t="str">
        <f t="shared" si="11"/>
        <v>100000</v>
      </c>
    </row>
    <row r="242" spans="1:9" x14ac:dyDescent="0.25">
      <c r="A242" s="13">
        <v>239</v>
      </c>
      <c r="B242" s="13">
        <v>40</v>
      </c>
      <c r="C242" s="13" t="str">
        <f t="shared" si="9"/>
        <v>Adult</v>
      </c>
      <c r="D242" s="13" t="s">
        <v>9</v>
      </c>
      <c r="E242" s="13" t="s">
        <v>7</v>
      </c>
      <c r="F242" s="13" t="s">
        <v>90</v>
      </c>
      <c r="G242" s="13">
        <v>12</v>
      </c>
      <c r="H242" s="13" t="str">
        <f t="shared" si="10"/>
        <v>Experienced</v>
      </c>
      <c r="I242" s="13" t="str">
        <f t="shared" si="11"/>
        <v>100000</v>
      </c>
    </row>
    <row r="243" spans="1:9" x14ac:dyDescent="0.25">
      <c r="A243" s="13">
        <v>240</v>
      </c>
      <c r="B243" s="13">
        <v>40</v>
      </c>
      <c r="C243" s="13" t="str">
        <f t="shared" si="9"/>
        <v>Adult</v>
      </c>
      <c r="D243" s="13" t="s">
        <v>6</v>
      </c>
      <c r="E243" s="13" t="s">
        <v>7</v>
      </c>
      <c r="F243" s="13" t="s">
        <v>73</v>
      </c>
      <c r="G243" s="13">
        <v>12</v>
      </c>
      <c r="H243" s="13" t="str">
        <f t="shared" si="10"/>
        <v>Experienced</v>
      </c>
      <c r="I243" s="13" t="str">
        <f t="shared" si="11"/>
        <v>100000</v>
      </c>
    </row>
    <row r="244" spans="1:9" x14ac:dyDescent="0.25">
      <c r="A244" s="13">
        <v>241</v>
      </c>
      <c r="B244" s="13">
        <v>40</v>
      </c>
      <c r="C244" s="13" t="str">
        <f t="shared" si="9"/>
        <v>Adult</v>
      </c>
      <c r="D244" s="13" t="s">
        <v>6</v>
      </c>
      <c r="E244" s="13" t="s">
        <v>7</v>
      </c>
      <c r="F244" s="13" t="s">
        <v>73</v>
      </c>
      <c r="G244" s="13">
        <v>12</v>
      </c>
      <c r="H244" s="13" t="str">
        <f t="shared" si="10"/>
        <v>Experienced</v>
      </c>
      <c r="I244" s="13" t="str">
        <f t="shared" si="11"/>
        <v>100000</v>
      </c>
    </row>
    <row r="245" spans="1:9" x14ac:dyDescent="0.25">
      <c r="A245" s="13">
        <v>242</v>
      </c>
      <c r="B245" s="13">
        <v>41</v>
      </c>
      <c r="C245" s="13" t="str">
        <f t="shared" si="9"/>
        <v>Adult</v>
      </c>
      <c r="D245" s="13" t="s">
        <v>6</v>
      </c>
      <c r="E245" s="13" t="s">
        <v>10</v>
      </c>
      <c r="F245" s="13" t="s">
        <v>35</v>
      </c>
      <c r="G245" s="13">
        <v>13</v>
      </c>
      <c r="H245" s="13" t="str">
        <f t="shared" si="10"/>
        <v>Experienced</v>
      </c>
      <c r="I245" s="13" t="str">
        <f t="shared" si="11"/>
        <v>100000</v>
      </c>
    </row>
    <row r="246" spans="1:9" x14ac:dyDescent="0.25">
      <c r="A246" s="13">
        <v>243</v>
      </c>
      <c r="B246" s="13">
        <v>41</v>
      </c>
      <c r="C246" s="13" t="str">
        <f t="shared" si="9"/>
        <v>Adult</v>
      </c>
      <c r="D246" s="13" t="s">
        <v>6</v>
      </c>
      <c r="E246" s="13" t="s">
        <v>10</v>
      </c>
      <c r="F246" s="13" t="s">
        <v>54</v>
      </c>
      <c r="G246" s="13">
        <v>13</v>
      </c>
      <c r="H246" s="13" t="str">
        <f t="shared" si="10"/>
        <v>Experienced</v>
      </c>
      <c r="I246" s="13" t="str">
        <f t="shared" si="11"/>
        <v>100000</v>
      </c>
    </row>
    <row r="247" spans="1:9" x14ac:dyDescent="0.25">
      <c r="A247" s="13">
        <v>244</v>
      </c>
      <c r="B247" s="13">
        <v>41</v>
      </c>
      <c r="C247" s="13" t="str">
        <f t="shared" si="9"/>
        <v>Adult</v>
      </c>
      <c r="D247" s="13" t="s">
        <v>9</v>
      </c>
      <c r="E247" s="13" t="s">
        <v>10</v>
      </c>
      <c r="F247" s="13" t="s">
        <v>11</v>
      </c>
      <c r="G247" s="13">
        <v>13</v>
      </c>
      <c r="H247" s="13" t="str">
        <f t="shared" si="10"/>
        <v>Experienced</v>
      </c>
      <c r="I247" s="13" t="str">
        <f t="shared" si="11"/>
        <v>100000</v>
      </c>
    </row>
    <row r="248" spans="1:9" x14ac:dyDescent="0.25">
      <c r="A248" s="13">
        <v>245</v>
      </c>
      <c r="B248" s="13">
        <v>41</v>
      </c>
      <c r="C248" s="13" t="str">
        <f t="shared" si="9"/>
        <v>Adult</v>
      </c>
      <c r="D248" s="13" t="s">
        <v>9</v>
      </c>
      <c r="E248" s="13" t="s">
        <v>10</v>
      </c>
      <c r="F248" s="13" t="s">
        <v>103</v>
      </c>
      <c r="G248" s="13">
        <v>14</v>
      </c>
      <c r="H248" s="13" t="str">
        <f t="shared" si="10"/>
        <v>Experienced</v>
      </c>
      <c r="I248" s="13" t="str">
        <f t="shared" si="11"/>
        <v>100000</v>
      </c>
    </row>
    <row r="249" spans="1:9" x14ac:dyDescent="0.25">
      <c r="A249" s="13">
        <v>246</v>
      </c>
      <c r="B249" s="13">
        <v>41</v>
      </c>
      <c r="C249" s="13" t="str">
        <f t="shared" si="9"/>
        <v>Adult</v>
      </c>
      <c r="D249" s="13" t="s">
        <v>9</v>
      </c>
      <c r="E249" s="13" t="s">
        <v>10</v>
      </c>
      <c r="F249" s="13" t="s">
        <v>90</v>
      </c>
      <c r="G249" s="13">
        <v>13</v>
      </c>
      <c r="H249" s="13" t="str">
        <f t="shared" si="10"/>
        <v>Experienced</v>
      </c>
      <c r="I249" s="13" t="str">
        <f t="shared" si="11"/>
        <v>100000</v>
      </c>
    </row>
    <row r="250" spans="1:9" x14ac:dyDescent="0.25">
      <c r="A250" s="13">
        <v>247</v>
      </c>
      <c r="B250" s="13">
        <v>41</v>
      </c>
      <c r="C250" s="13" t="str">
        <f t="shared" si="9"/>
        <v>Adult</v>
      </c>
      <c r="D250" s="13" t="s">
        <v>9</v>
      </c>
      <c r="E250" s="13" t="s">
        <v>10</v>
      </c>
      <c r="F250" s="13" t="s">
        <v>144</v>
      </c>
      <c r="G250" s="13">
        <v>13</v>
      </c>
      <c r="H250" s="13" t="str">
        <f t="shared" si="10"/>
        <v>Experienced</v>
      </c>
      <c r="I250" s="13" t="str">
        <f t="shared" si="11"/>
        <v>100000</v>
      </c>
    </row>
    <row r="251" spans="1:9" x14ac:dyDescent="0.25">
      <c r="A251" s="13">
        <v>248</v>
      </c>
      <c r="B251" s="13">
        <v>41</v>
      </c>
      <c r="C251" s="13" t="str">
        <f t="shared" si="9"/>
        <v>Adult</v>
      </c>
      <c r="D251" s="13" t="s">
        <v>9</v>
      </c>
      <c r="E251" s="13" t="s">
        <v>7</v>
      </c>
      <c r="F251" s="13" t="s">
        <v>143</v>
      </c>
      <c r="G251" s="13">
        <v>11</v>
      </c>
      <c r="H251" s="13" t="str">
        <f t="shared" si="10"/>
        <v>Experienced</v>
      </c>
      <c r="I251" s="13" t="str">
        <f t="shared" si="11"/>
        <v>100000</v>
      </c>
    </row>
    <row r="252" spans="1:9" x14ac:dyDescent="0.25">
      <c r="A252" s="13">
        <v>249</v>
      </c>
      <c r="B252" s="13">
        <v>41</v>
      </c>
      <c r="C252" s="13" t="str">
        <f t="shared" si="9"/>
        <v>Adult</v>
      </c>
      <c r="D252" s="13" t="s">
        <v>9</v>
      </c>
      <c r="E252" s="13" t="s">
        <v>12</v>
      </c>
      <c r="F252" s="13" t="s">
        <v>168</v>
      </c>
      <c r="G252" s="13">
        <v>17</v>
      </c>
      <c r="H252" s="13" t="str">
        <f t="shared" si="10"/>
        <v>Experienced</v>
      </c>
      <c r="I252" s="13" t="str">
        <f t="shared" si="11"/>
        <v>150000</v>
      </c>
    </row>
    <row r="253" spans="1:9" x14ac:dyDescent="0.25">
      <c r="A253" s="13">
        <v>250</v>
      </c>
      <c r="B253" s="13">
        <v>41</v>
      </c>
      <c r="C253" s="13" t="str">
        <f t="shared" si="9"/>
        <v>Adult</v>
      </c>
      <c r="D253" s="13" t="s">
        <v>9</v>
      </c>
      <c r="E253" s="13" t="s">
        <v>7</v>
      </c>
      <c r="F253" s="13" t="s">
        <v>99</v>
      </c>
      <c r="G253" s="13">
        <v>11</v>
      </c>
      <c r="H253" s="13" t="str">
        <f t="shared" si="10"/>
        <v>Experienced</v>
      </c>
      <c r="I253" s="13" t="str">
        <f t="shared" si="11"/>
        <v>100000</v>
      </c>
    </row>
    <row r="254" spans="1:9" x14ac:dyDescent="0.25">
      <c r="A254" s="13">
        <v>251</v>
      </c>
      <c r="B254" s="13">
        <v>41</v>
      </c>
      <c r="C254" s="13" t="str">
        <f t="shared" si="9"/>
        <v>Adult</v>
      </c>
      <c r="D254" s="13" t="s">
        <v>9</v>
      </c>
      <c r="E254" s="13" t="s">
        <v>7</v>
      </c>
      <c r="F254" s="13" t="s">
        <v>99</v>
      </c>
      <c r="G254" s="13">
        <v>11</v>
      </c>
      <c r="H254" s="13" t="str">
        <f t="shared" si="10"/>
        <v>Experienced</v>
      </c>
      <c r="I254" s="13" t="str">
        <f t="shared" si="11"/>
        <v>100000</v>
      </c>
    </row>
    <row r="255" spans="1:9" x14ac:dyDescent="0.25">
      <c r="A255" s="13">
        <v>252</v>
      </c>
      <c r="B255" s="13">
        <v>41</v>
      </c>
      <c r="C255" s="13" t="str">
        <f t="shared" si="9"/>
        <v>Adult</v>
      </c>
      <c r="D255" s="13" t="s">
        <v>6</v>
      </c>
      <c r="E255" s="13" t="s">
        <v>7</v>
      </c>
      <c r="F255" s="13" t="s">
        <v>113</v>
      </c>
      <c r="G255" s="13">
        <v>14</v>
      </c>
      <c r="H255" s="13" t="str">
        <f t="shared" si="10"/>
        <v>Experienced</v>
      </c>
      <c r="I255" s="13" t="str">
        <f t="shared" si="11"/>
        <v>100000</v>
      </c>
    </row>
    <row r="256" spans="1:9" x14ac:dyDescent="0.25">
      <c r="A256" s="13">
        <v>253</v>
      </c>
      <c r="B256" s="13">
        <v>41</v>
      </c>
      <c r="C256" s="13" t="str">
        <f t="shared" si="9"/>
        <v>Adult</v>
      </c>
      <c r="D256" s="13" t="s">
        <v>6</v>
      </c>
      <c r="E256" s="13" t="s">
        <v>7</v>
      </c>
      <c r="F256" s="13" t="s">
        <v>113</v>
      </c>
      <c r="G256" s="13">
        <v>14</v>
      </c>
      <c r="H256" s="13" t="str">
        <f t="shared" si="10"/>
        <v>Experienced</v>
      </c>
      <c r="I256" s="13" t="str">
        <f t="shared" si="11"/>
        <v>100000</v>
      </c>
    </row>
    <row r="257" spans="1:9" x14ac:dyDescent="0.25">
      <c r="A257" s="13">
        <v>254</v>
      </c>
      <c r="B257" s="13">
        <v>42</v>
      </c>
      <c r="C257" s="13" t="str">
        <f t="shared" si="9"/>
        <v>Adult</v>
      </c>
      <c r="D257" s="13" t="s">
        <v>9</v>
      </c>
      <c r="E257" s="13" t="s">
        <v>10</v>
      </c>
      <c r="F257" s="13" t="s">
        <v>17</v>
      </c>
      <c r="G257" s="13">
        <v>12</v>
      </c>
      <c r="H257" s="13" t="str">
        <f t="shared" si="10"/>
        <v>Experienced</v>
      </c>
      <c r="I257" s="13" t="str">
        <f t="shared" si="11"/>
        <v>100000</v>
      </c>
    </row>
    <row r="258" spans="1:9" x14ac:dyDescent="0.25">
      <c r="A258" s="13">
        <v>255</v>
      </c>
      <c r="B258" s="13">
        <v>42</v>
      </c>
      <c r="C258" s="13" t="str">
        <f t="shared" si="9"/>
        <v>Adult</v>
      </c>
      <c r="D258" s="13" t="s">
        <v>6</v>
      </c>
      <c r="E258" s="13" t="s">
        <v>10</v>
      </c>
      <c r="F258" s="13" t="s">
        <v>47</v>
      </c>
      <c r="G258" s="13">
        <v>14</v>
      </c>
      <c r="H258" s="13" t="str">
        <f t="shared" si="10"/>
        <v>Experienced</v>
      </c>
      <c r="I258" s="13" t="str">
        <f t="shared" si="11"/>
        <v>100000</v>
      </c>
    </row>
    <row r="259" spans="1:9" x14ac:dyDescent="0.25">
      <c r="A259" s="13">
        <v>256</v>
      </c>
      <c r="B259" s="13">
        <v>42</v>
      </c>
      <c r="C259" s="13" t="str">
        <f t="shared" si="9"/>
        <v>Adult</v>
      </c>
      <c r="D259" s="13" t="s">
        <v>9</v>
      </c>
      <c r="E259" s="13" t="s">
        <v>10</v>
      </c>
      <c r="F259" s="13" t="s">
        <v>77</v>
      </c>
      <c r="G259" s="13">
        <v>14</v>
      </c>
      <c r="H259" s="13" t="str">
        <f t="shared" si="10"/>
        <v>Experienced</v>
      </c>
      <c r="I259" s="13" t="str">
        <f t="shared" si="11"/>
        <v>100000</v>
      </c>
    </row>
    <row r="260" spans="1:9" x14ac:dyDescent="0.25">
      <c r="A260" s="13">
        <v>257</v>
      </c>
      <c r="B260" s="13">
        <v>42</v>
      </c>
      <c r="C260" s="13" t="str">
        <f t="shared" ref="C260:C323" si="12">IF(B260&gt;=50,"Senior",IF(B260&gt;=25,"Adult","Teenager"))</f>
        <v>Adult</v>
      </c>
      <c r="D260" s="13" t="s">
        <v>9</v>
      </c>
      <c r="E260" s="13" t="s">
        <v>10</v>
      </c>
      <c r="F260" s="13" t="s">
        <v>105</v>
      </c>
      <c r="G260" s="13">
        <v>15</v>
      </c>
      <c r="H260" s="13" t="str">
        <f t="shared" si="10"/>
        <v>Experienced</v>
      </c>
      <c r="I260" s="13" t="str">
        <f t="shared" si="11"/>
        <v>100000</v>
      </c>
    </row>
    <row r="261" spans="1:9" x14ac:dyDescent="0.25">
      <c r="A261" s="13">
        <v>258</v>
      </c>
      <c r="B261" s="13">
        <v>42</v>
      </c>
      <c r="C261" s="13" t="str">
        <f t="shared" si="12"/>
        <v>Adult</v>
      </c>
      <c r="D261" s="13" t="s">
        <v>9</v>
      </c>
      <c r="E261" s="13" t="s">
        <v>7</v>
      </c>
      <c r="F261" s="13" t="s">
        <v>18</v>
      </c>
      <c r="G261" s="13">
        <v>17</v>
      </c>
      <c r="H261" s="13" t="str">
        <f t="shared" ref="H261:H324" si="13">IF(G261&gt;=4,"Experienced",IF(G261&lt;=3,"Fresher"))</f>
        <v>Experienced</v>
      </c>
      <c r="I261" s="13" t="str">
        <f t="shared" ref="I261:I324" si="14">IF(G261&lt;=1,"20000",IF(G261&lt;=3,"30000",IF(G261&lt;=10,"60000",IF(G261&lt;=15,"100000",IF(G261&lt;=20,"150000",IF(G261&lt;=25,"200000"))))))</f>
        <v>150000</v>
      </c>
    </row>
    <row r="262" spans="1:9" x14ac:dyDescent="0.25">
      <c r="A262" s="13">
        <v>259</v>
      </c>
      <c r="B262" s="13">
        <v>42</v>
      </c>
      <c r="C262" s="13" t="str">
        <f t="shared" si="12"/>
        <v>Adult</v>
      </c>
      <c r="D262" s="13" t="s">
        <v>9</v>
      </c>
      <c r="E262" s="13" t="s">
        <v>12</v>
      </c>
      <c r="F262" s="13" t="s">
        <v>67</v>
      </c>
      <c r="G262" s="13">
        <v>16</v>
      </c>
      <c r="H262" s="13" t="str">
        <f t="shared" si="13"/>
        <v>Experienced</v>
      </c>
      <c r="I262" s="13" t="str">
        <f t="shared" si="14"/>
        <v>150000</v>
      </c>
    </row>
    <row r="263" spans="1:9" x14ac:dyDescent="0.25">
      <c r="A263" s="13">
        <v>260</v>
      </c>
      <c r="B263" s="13">
        <v>42</v>
      </c>
      <c r="C263" s="13" t="str">
        <f t="shared" si="12"/>
        <v>Adult</v>
      </c>
      <c r="D263" s="13" t="s">
        <v>9</v>
      </c>
      <c r="E263" s="13" t="s">
        <v>12</v>
      </c>
      <c r="F263" s="13" t="s">
        <v>90</v>
      </c>
      <c r="G263" s="13">
        <v>18</v>
      </c>
      <c r="H263" s="13" t="str">
        <f t="shared" si="13"/>
        <v>Experienced</v>
      </c>
      <c r="I263" s="13" t="str">
        <f t="shared" si="14"/>
        <v>150000</v>
      </c>
    </row>
    <row r="264" spans="1:9" x14ac:dyDescent="0.25">
      <c r="A264" s="13">
        <v>261</v>
      </c>
      <c r="B264" s="13">
        <v>42</v>
      </c>
      <c r="C264" s="13" t="str">
        <f t="shared" si="12"/>
        <v>Adult</v>
      </c>
      <c r="D264" s="13" t="s">
        <v>9</v>
      </c>
      <c r="E264" s="13" t="s">
        <v>10</v>
      </c>
      <c r="F264" s="13" t="s">
        <v>144</v>
      </c>
      <c r="G264" s="13">
        <v>13</v>
      </c>
      <c r="H264" s="13" t="str">
        <f t="shared" si="13"/>
        <v>Experienced</v>
      </c>
      <c r="I264" s="13" t="str">
        <f t="shared" si="14"/>
        <v>100000</v>
      </c>
    </row>
    <row r="265" spans="1:9" x14ac:dyDescent="0.25">
      <c r="A265" s="13">
        <v>262</v>
      </c>
      <c r="B265" s="13">
        <v>42</v>
      </c>
      <c r="C265" s="13" t="str">
        <f t="shared" si="12"/>
        <v>Adult</v>
      </c>
      <c r="D265" s="13" t="s">
        <v>9</v>
      </c>
      <c r="E265" s="13" t="s">
        <v>12</v>
      </c>
      <c r="F265" s="13" t="s">
        <v>90</v>
      </c>
      <c r="G265" s="13">
        <v>13</v>
      </c>
      <c r="H265" s="13" t="str">
        <f t="shared" si="13"/>
        <v>Experienced</v>
      </c>
      <c r="I265" s="13" t="str">
        <f t="shared" si="14"/>
        <v>100000</v>
      </c>
    </row>
    <row r="266" spans="1:9" x14ac:dyDescent="0.25">
      <c r="A266" s="13">
        <v>263</v>
      </c>
      <c r="B266" s="13">
        <v>42</v>
      </c>
      <c r="C266" s="13" t="str">
        <f t="shared" si="12"/>
        <v>Adult</v>
      </c>
      <c r="D266" s="13" t="s">
        <v>6</v>
      </c>
      <c r="E266" s="13" t="s">
        <v>7</v>
      </c>
      <c r="F266" s="13" t="s">
        <v>137</v>
      </c>
      <c r="G266" s="13">
        <v>12</v>
      </c>
      <c r="H266" s="13" t="str">
        <f t="shared" si="13"/>
        <v>Experienced</v>
      </c>
      <c r="I266" s="13" t="str">
        <f t="shared" si="14"/>
        <v>100000</v>
      </c>
    </row>
    <row r="267" spans="1:9" x14ac:dyDescent="0.25">
      <c r="A267" s="13">
        <v>264</v>
      </c>
      <c r="B267" s="13">
        <v>42</v>
      </c>
      <c r="C267" s="13" t="str">
        <f t="shared" si="12"/>
        <v>Adult</v>
      </c>
      <c r="D267" s="13" t="s">
        <v>9</v>
      </c>
      <c r="E267" s="13" t="s">
        <v>7</v>
      </c>
      <c r="F267" s="13" t="s">
        <v>87</v>
      </c>
      <c r="G267" s="13">
        <v>12</v>
      </c>
      <c r="H267" s="13" t="str">
        <f t="shared" si="13"/>
        <v>Experienced</v>
      </c>
      <c r="I267" s="13" t="str">
        <f t="shared" si="14"/>
        <v>100000</v>
      </c>
    </row>
    <row r="268" spans="1:9" x14ac:dyDescent="0.25">
      <c r="A268" s="13">
        <v>265</v>
      </c>
      <c r="B268" s="13">
        <v>43</v>
      </c>
      <c r="C268" s="13" t="str">
        <f t="shared" si="12"/>
        <v>Adult</v>
      </c>
      <c r="D268" s="13" t="s">
        <v>9</v>
      </c>
      <c r="E268" s="13" t="s">
        <v>12</v>
      </c>
      <c r="F268" s="13" t="s">
        <v>39</v>
      </c>
      <c r="G268" s="13">
        <v>15</v>
      </c>
      <c r="H268" s="13" t="str">
        <f t="shared" si="13"/>
        <v>Experienced</v>
      </c>
      <c r="I268" s="13" t="str">
        <f t="shared" si="14"/>
        <v>100000</v>
      </c>
    </row>
    <row r="269" spans="1:9" x14ac:dyDescent="0.25">
      <c r="A269" s="13">
        <v>266</v>
      </c>
      <c r="B269" s="13">
        <v>43</v>
      </c>
      <c r="C269" s="13" t="str">
        <f t="shared" si="12"/>
        <v>Adult</v>
      </c>
      <c r="D269" s="13" t="s">
        <v>6</v>
      </c>
      <c r="E269" s="13" t="s">
        <v>12</v>
      </c>
      <c r="F269" s="13" t="s">
        <v>28</v>
      </c>
      <c r="G269" s="13">
        <v>17</v>
      </c>
      <c r="H269" s="13" t="str">
        <f t="shared" si="13"/>
        <v>Experienced</v>
      </c>
      <c r="I269" s="13" t="str">
        <f t="shared" si="14"/>
        <v>150000</v>
      </c>
    </row>
    <row r="270" spans="1:9" x14ac:dyDescent="0.25">
      <c r="A270" s="13">
        <v>267</v>
      </c>
      <c r="B270" s="13">
        <v>43</v>
      </c>
      <c r="C270" s="13" t="str">
        <f t="shared" si="12"/>
        <v>Adult</v>
      </c>
      <c r="D270" s="13" t="s">
        <v>6</v>
      </c>
      <c r="E270" s="13" t="s">
        <v>7</v>
      </c>
      <c r="F270" s="13" t="s">
        <v>89</v>
      </c>
      <c r="G270" s="13">
        <v>18</v>
      </c>
      <c r="H270" s="13" t="str">
        <f t="shared" si="13"/>
        <v>Experienced</v>
      </c>
      <c r="I270" s="13" t="str">
        <f t="shared" si="14"/>
        <v>150000</v>
      </c>
    </row>
    <row r="271" spans="1:9" x14ac:dyDescent="0.25">
      <c r="A271" s="13">
        <v>268</v>
      </c>
      <c r="B271" s="13">
        <v>43</v>
      </c>
      <c r="C271" s="13" t="str">
        <f t="shared" si="12"/>
        <v>Adult</v>
      </c>
      <c r="D271" s="13" t="s">
        <v>9</v>
      </c>
      <c r="E271" s="13" t="s">
        <v>10</v>
      </c>
      <c r="F271" s="13" t="s">
        <v>124</v>
      </c>
      <c r="G271" s="13">
        <v>14</v>
      </c>
      <c r="H271" s="13" t="str">
        <f t="shared" si="13"/>
        <v>Experienced</v>
      </c>
      <c r="I271" s="13" t="str">
        <f t="shared" si="14"/>
        <v>100000</v>
      </c>
    </row>
    <row r="272" spans="1:9" x14ac:dyDescent="0.25">
      <c r="A272" s="13">
        <v>269</v>
      </c>
      <c r="B272" s="13">
        <v>43</v>
      </c>
      <c r="C272" s="13" t="str">
        <f t="shared" si="12"/>
        <v>Adult</v>
      </c>
      <c r="D272" s="13" t="s">
        <v>9</v>
      </c>
      <c r="E272" s="13" t="s">
        <v>12</v>
      </c>
      <c r="F272" s="13" t="s">
        <v>133</v>
      </c>
      <c r="G272" s="13">
        <v>18</v>
      </c>
      <c r="H272" s="13" t="str">
        <f t="shared" si="13"/>
        <v>Experienced</v>
      </c>
      <c r="I272" s="13" t="str">
        <f t="shared" si="14"/>
        <v>150000</v>
      </c>
    </row>
    <row r="273" spans="1:9" x14ac:dyDescent="0.25">
      <c r="A273" s="13">
        <v>270</v>
      </c>
      <c r="B273" s="13">
        <v>43</v>
      </c>
      <c r="C273" s="13" t="str">
        <f t="shared" si="12"/>
        <v>Adult</v>
      </c>
      <c r="D273" s="13" t="s">
        <v>6</v>
      </c>
      <c r="E273" s="13" t="s">
        <v>7</v>
      </c>
      <c r="F273" s="13" t="s">
        <v>87</v>
      </c>
      <c r="G273" s="13">
        <v>16</v>
      </c>
      <c r="H273" s="13" t="str">
        <f t="shared" si="13"/>
        <v>Experienced</v>
      </c>
      <c r="I273" s="13" t="str">
        <f t="shared" si="14"/>
        <v>150000</v>
      </c>
    </row>
    <row r="274" spans="1:9" x14ac:dyDescent="0.25">
      <c r="A274" s="13">
        <v>271</v>
      </c>
      <c r="B274" s="13">
        <v>43</v>
      </c>
      <c r="C274" s="13" t="str">
        <f t="shared" si="12"/>
        <v>Adult</v>
      </c>
      <c r="D274" s="13" t="s">
        <v>6</v>
      </c>
      <c r="E274" s="13" t="s">
        <v>7</v>
      </c>
      <c r="F274" s="13" t="s">
        <v>157</v>
      </c>
      <c r="G274" s="13">
        <v>14</v>
      </c>
      <c r="H274" s="13" t="str">
        <f t="shared" si="13"/>
        <v>Experienced</v>
      </c>
      <c r="I274" s="13" t="str">
        <f t="shared" si="14"/>
        <v>100000</v>
      </c>
    </row>
    <row r="275" spans="1:9" x14ac:dyDescent="0.25">
      <c r="A275" s="13">
        <v>272</v>
      </c>
      <c r="B275" s="13">
        <v>43</v>
      </c>
      <c r="C275" s="13" t="str">
        <f t="shared" si="12"/>
        <v>Adult</v>
      </c>
      <c r="D275" s="13" t="s">
        <v>6</v>
      </c>
      <c r="E275" s="13" t="s">
        <v>7</v>
      </c>
      <c r="F275" s="13" t="s">
        <v>87</v>
      </c>
      <c r="G275" s="13">
        <v>15</v>
      </c>
      <c r="H275" s="13" t="str">
        <f t="shared" si="13"/>
        <v>Experienced</v>
      </c>
      <c r="I275" s="13" t="str">
        <f t="shared" si="14"/>
        <v>100000</v>
      </c>
    </row>
    <row r="276" spans="1:9" x14ac:dyDescent="0.25">
      <c r="A276" s="13">
        <v>273</v>
      </c>
      <c r="B276" s="13">
        <v>43</v>
      </c>
      <c r="C276" s="13" t="str">
        <f t="shared" si="12"/>
        <v>Adult</v>
      </c>
      <c r="D276" s="13" t="s">
        <v>9</v>
      </c>
      <c r="E276" s="13" t="s">
        <v>12</v>
      </c>
      <c r="F276" s="13" t="s">
        <v>67</v>
      </c>
      <c r="G276" s="13">
        <v>15</v>
      </c>
      <c r="H276" s="13" t="str">
        <f t="shared" si="13"/>
        <v>Experienced</v>
      </c>
      <c r="I276" s="13" t="str">
        <f t="shared" si="14"/>
        <v>100000</v>
      </c>
    </row>
    <row r="277" spans="1:9" x14ac:dyDescent="0.25">
      <c r="A277" s="13">
        <v>274</v>
      </c>
      <c r="B277" s="13">
        <v>43</v>
      </c>
      <c r="C277" s="13" t="str">
        <f t="shared" si="12"/>
        <v>Adult</v>
      </c>
      <c r="D277" s="13" t="s">
        <v>6</v>
      </c>
      <c r="E277" s="13" t="s">
        <v>10</v>
      </c>
      <c r="F277" s="13" t="s">
        <v>57</v>
      </c>
      <c r="G277" s="13">
        <v>18</v>
      </c>
      <c r="H277" s="13" t="str">
        <f t="shared" si="13"/>
        <v>Experienced</v>
      </c>
      <c r="I277" s="13" t="str">
        <f t="shared" si="14"/>
        <v>150000</v>
      </c>
    </row>
    <row r="278" spans="1:9" x14ac:dyDescent="0.25">
      <c r="A278" s="13">
        <v>275</v>
      </c>
      <c r="B278" s="13">
        <v>43</v>
      </c>
      <c r="C278" s="13" t="str">
        <f t="shared" si="12"/>
        <v>Adult</v>
      </c>
      <c r="D278" s="13" t="s">
        <v>6</v>
      </c>
      <c r="E278" s="13" t="s">
        <v>10</v>
      </c>
      <c r="F278" s="13" t="s">
        <v>57</v>
      </c>
      <c r="G278" s="13">
        <v>18</v>
      </c>
      <c r="H278" s="13" t="str">
        <f t="shared" si="13"/>
        <v>Experienced</v>
      </c>
      <c r="I278" s="13" t="str">
        <f t="shared" si="14"/>
        <v>150000</v>
      </c>
    </row>
    <row r="279" spans="1:9" x14ac:dyDescent="0.25">
      <c r="A279" s="13">
        <v>276</v>
      </c>
      <c r="B279" s="13">
        <v>43</v>
      </c>
      <c r="C279" s="13" t="str">
        <f t="shared" si="12"/>
        <v>Adult</v>
      </c>
      <c r="D279" s="13" t="s">
        <v>6</v>
      </c>
      <c r="E279" s="13" t="s">
        <v>10</v>
      </c>
      <c r="F279" s="13" t="s">
        <v>66</v>
      </c>
      <c r="G279" s="13">
        <v>19</v>
      </c>
      <c r="H279" s="13" t="str">
        <f t="shared" si="13"/>
        <v>Experienced</v>
      </c>
      <c r="I279" s="13" t="str">
        <f t="shared" si="14"/>
        <v>150000</v>
      </c>
    </row>
    <row r="280" spans="1:9" x14ac:dyDescent="0.25">
      <c r="A280" s="13">
        <v>277</v>
      </c>
      <c r="B280" s="13">
        <v>44</v>
      </c>
      <c r="C280" s="13" t="str">
        <f t="shared" si="12"/>
        <v>Adult</v>
      </c>
      <c r="D280" s="13" t="s">
        <v>6</v>
      </c>
      <c r="E280" s="13" t="s">
        <v>7</v>
      </c>
      <c r="F280" s="13" t="s">
        <v>26</v>
      </c>
      <c r="G280" s="13">
        <v>16</v>
      </c>
      <c r="H280" s="13" t="str">
        <f t="shared" si="13"/>
        <v>Experienced</v>
      </c>
      <c r="I280" s="13" t="str">
        <f t="shared" si="14"/>
        <v>150000</v>
      </c>
    </row>
    <row r="281" spans="1:9" x14ac:dyDescent="0.25">
      <c r="A281" s="13">
        <v>278</v>
      </c>
      <c r="B281" s="13">
        <v>44</v>
      </c>
      <c r="C281" s="13" t="str">
        <f t="shared" si="12"/>
        <v>Adult</v>
      </c>
      <c r="D281" s="13" t="s">
        <v>6</v>
      </c>
      <c r="E281" s="13" t="s">
        <v>12</v>
      </c>
      <c r="F281" s="13" t="s">
        <v>100</v>
      </c>
      <c r="G281" s="13">
        <v>16</v>
      </c>
      <c r="H281" s="13" t="str">
        <f t="shared" si="13"/>
        <v>Experienced</v>
      </c>
      <c r="I281" s="13" t="str">
        <f t="shared" si="14"/>
        <v>150000</v>
      </c>
    </row>
    <row r="282" spans="1:9" x14ac:dyDescent="0.25">
      <c r="A282" s="13">
        <v>279</v>
      </c>
      <c r="B282" s="13">
        <v>44</v>
      </c>
      <c r="C282" s="13" t="str">
        <f t="shared" si="12"/>
        <v>Adult</v>
      </c>
      <c r="D282" s="13" t="s">
        <v>9</v>
      </c>
      <c r="E282" s="13" t="s">
        <v>12</v>
      </c>
      <c r="F282" s="13" t="s">
        <v>20</v>
      </c>
      <c r="G282" s="13">
        <v>16</v>
      </c>
      <c r="H282" s="13" t="str">
        <f t="shared" si="13"/>
        <v>Experienced</v>
      </c>
      <c r="I282" s="13" t="str">
        <f t="shared" si="14"/>
        <v>150000</v>
      </c>
    </row>
    <row r="283" spans="1:9" x14ac:dyDescent="0.25">
      <c r="A283" s="13">
        <v>280</v>
      </c>
      <c r="B283" s="13">
        <v>44</v>
      </c>
      <c r="C283" s="13" t="str">
        <f t="shared" si="12"/>
        <v>Adult</v>
      </c>
      <c r="D283" s="13" t="s">
        <v>6</v>
      </c>
      <c r="E283" s="13" t="s">
        <v>7</v>
      </c>
      <c r="F283" s="13" t="s">
        <v>135</v>
      </c>
      <c r="G283" s="13">
        <v>14</v>
      </c>
      <c r="H283" s="13" t="str">
        <f t="shared" si="13"/>
        <v>Experienced</v>
      </c>
      <c r="I283" s="13" t="str">
        <f t="shared" si="14"/>
        <v>100000</v>
      </c>
    </row>
    <row r="284" spans="1:9" x14ac:dyDescent="0.25">
      <c r="A284" s="13">
        <v>281</v>
      </c>
      <c r="B284" s="13">
        <v>44</v>
      </c>
      <c r="C284" s="13" t="str">
        <f t="shared" si="12"/>
        <v>Adult</v>
      </c>
      <c r="D284" s="13" t="s">
        <v>9</v>
      </c>
      <c r="E284" s="13" t="s">
        <v>12</v>
      </c>
      <c r="F284" s="13" t="s">
        <v>154</v>
      </c>
      <c r="G284" s="13">
        <v>15</v>
      </c>
      <c r="H284" s="13" t="str">
        <f t="shared" si="13"/>
        <v>Experienced</v>
      </c>
      <c r="I284" s="13" t="str">
        <f t="shared" si="14"/>
        <v>100000</v>
      </c>
    </row>
    <row r="285" spans="1:9" x14ac:dyDescent="0.25">
      <c r="A285" s="13">
        <v>282</v>
      </c>
      <c r="B285" s="13">
        <v>44</v>
      </c>
      <c r="C285" s="13" t="str">
        <f t="shared" si="12"/>
        <v>Adult</v>
      </c>
      <c r="D285" s="13" t="s">
        <v>6</v>
      </c>
      <c r="E285" s="13" t="s">
        <v>7</v>
      </c>
      <c r="F285" s="13" t="s">
        <v>126</v>
      </c>
      <c r="G285" s="13">
        <v>16</v>
      </c>
      <c r="H285" s="13" t="str">
        <f t="shared" si="13"/>
        <v>Experienced</v>
      </c>
      <c r="I285" s="13" t="str">
        <f t="shared" si="14"/>
        <v>150000</v>
      </c>
    </row>
    <row r="286" spans="1:9" x14ac:dyDescent="0.25">
      <c r="A286" s="13">
        <v>283</v>
      </c>
      <c r="B286" s="13">
        <v>44</v>
      </c>
      <c r="C286" s="13" t="str">
        <f t="shared" si="12"/>
        <v>Adult</v>
      </c>
      <c r="D286" s="13" t="s">
        <v>6</v>
      </c>
      <c r="E286" s="13" t="s">
        <v>7</v>
      </c>
      <c r="F286" s="13" t="s">
        <v>78</v>
      </c>
      <c r="G286" s="13">
        <v>14</v>
      </c>
      <c r="H286" s="13" t="str">
        <f t="shared" si="13"/>
        <v>Experienced</v>
      </c>
      <c r="I286" s="13" t="str">
        <f t="shared" si="14"/>
        <v>100000</v>
      </c>
    </row>
    <row r="287" spans="1:9" x14ac:dyDescent="0.25">
      <c r="A287" s="13">
        <v>284</v>
      </c>
      <c r="B287" s="13">
        <v>44</v>
      </c>
      <c r="C287" s="13" t="str">
        <f t="shared" si="12"/>
        <v>Adult</v>
      </c>
      <c r="D287" s="13" t="s">
        <v>9</v>
      </c>
      <c r="E287" s="13" t="s">
        <v>12</v>
      </c>
      <c r="F287" s="13" t="s">
        <v>97</v>
      </c>
      <c r="G287" s="13">
        <v>18</v>
      </c>
      <c r="H287" s="13" t="str">
        <f t="shared" si="13"/>
        <v>Experienced</v>
      </c>
      <c r="I287" s="13" t="str">
        <f t="shared" si="14"/>
        <v>150000</v>
      </c>
    </row>
    <row r="288" spans="1:9" x14ac:dyDescent="0.25">
      <c r="A288" s="13">
        <v>285</v>
      </c>
      <c r="B288" s="13">
        <v>44</v>
      </c>
      <c r="C288" s="13" t="str">
        <f t="shared" si="12"/>
        <v>Adult</v>
      </c>
      <c r="D288" s="13" t="s">
        <v>6</v>
      </c>
      <c r="E288" s="13" t="s">
        <v>7</v>
      </c>
      <c r="F288" s="13" t="s">
        <v>78</v>
      </c>
      <c r="G288" s="13">
        <v>14</v>
      </c>
      <c r="H288" s="13" t="str">
        <f t="shared" si="13"/>
        <v>Experienced</v>
      </c>
      <c r="I288" s="13" t="str">
        <f t="shared" si="14"/>
        <v>100000</v>
      </c>
    </row>
    <row r="289" spans="1:9" x14ac:dyDescent="0.25">
      <c r="A289" s="13">
        <v>286</v>
      </c>
      <c r="B289" s="13">
        <v>44</v>
      </c>
      <c r="C289" s="13" t="str">
        <f t="shared" si="12"/>
        <v>Adult</v>
      </c>
      <c r="D289" s="13" t="s">
        <v>9</v>
      </c>
      <c r="E289" s="13" t="s">
        <v>10</v>
      </c>
      <c r="F289" s="13" t="s">
        <v>178</v>
      </c>
      <c r="G289" s="13">
        <v>15</v>
      </c>
      <c r="H289" s="13" t="str">
        <f t="shared" si="13"/>
        <v>Experienced</v>
      </c>
      <c r="I289" s="13" t="str">
        <f t="shared" si="14"/>
        <v>100000</v>
      </c>
    </row>
    <row r="290" spans="1:9" x14ac:dyDescent="0.25">
      <c r="A290" s="13">
        <v>287</v>
      </c>
      <c r="B290" s="13">
        <v>44</v>
      </c>
      <c r="C290" s="13" t="str">
        <f t="shared" si="12"/>
        <v>Adult</v>
      </c>
      <c r="D290" s="13" t="s">
        <v>9</v>
      </c>
      <c r="E290" s="13" t="s">
        <v>12</v>
      </c>
      <c r="F290" s="13" t="s">
        <v>133</v>
      </c>
      <c r="G290" s="13">
        <v>15</v>
      </c>
      <c r="H290" s="13" t="str">
        <f t="shared" si="13"/>
        <v>Experienced</v>
      </c>
      <c r="I290" s="13" t="str">
        <f t="shared" si="14"/>
        <v>100000</v>
      </c>
    </row>
    <row r="291" spans="1:9" x14ac:dyDescent="0.25">
      <c r="A291" s="13">
        <v>288</v>
      </c>
      <c r="B291" s="13">
        <v>44</v>
      </c>
      <c r="C291" s="13" t="str">
        <f t="shared" si="12"/>
        <v>Adult</v>
      </c>
      <c r="D291" s="13" t="s">
        <v>6</v>
      </c>
      <c r="E291" s="13" t="s">
        <v>7</v>
      </c>
      <c r="F291" s="13" t="s">
        <v>78</v>
      </c>
      <c r="G291" s="13">
        <v>13</v>
      </c>
      <c r="H291" s="13" t="str">
        <f t="shared" si="13"/>
        <v>Experienced</v>
      </c>
      <c r="I291" s="13" t="str">
        <f t="shared" si="14"/>
        <v>100000</v>
      </c>
    </row>
    <row r="292" spans="1:9" x14ac:dyDescent="0.25">
      <c r="A292" s="13">
        <v>289</v>
      </c>
      <c r="B292" s="13">
        <v>44</v>
      </c>
      <c r="C292" s="13" t="str">
        <f t="shared" si="12"/>
        <v>Adult</v>
      </c>
      <c r="D292" s="13" t="s">
        <v>6</v>
      </c>
      <c r="E292" s="13" t="s">
        <v>12</v>
      </c>
      <c r="F292" s="13" t="s">
        <v>67</v>
      </c>
      <c r="G292" s="13">
        <v>16</v>
      </c>
      <c r="H292" s="13" t="str">
        <f t="shared" si="13"/>
        <v>Experienced</v>
      </c>
      <c r="I292" s="13" t="str">
        <f t="shared" si="14"/>
        <v>150000</v>
      </c>
    </row>
    <row r="293" spans="1:9" x14ac:dyDescent="0.25">
      <c r="A293" s="13">
        <v>290</v>
      </c>
      <c r="B293" s="13">
        <v>44</v>
      </c>
      <c r="C293" s="13" t="str">
        <f t="shared" si="12"/>
        <v>Adult</v>
      </c>
      <c r="D293" s="13" t="s">
        <v>9</v>
      </c>
      <c r="E293" s="13" t="s">
        <v>12</v>
      </c>
      <c r="F293" s="13" t="s">
        <v>133</v>
      </c>
      <c r="G293" s="13">
        <v>15</v>
      </c>
      <c r="H293" s="13" t="str">
        <f t="shared" si="13"/>
        <v>Experienced</v>
      </c>
      <c r="I293" s="13" t="str">
        <f t="shared" si="14"/>
        <v>100000</v>
      </c>
    </row>
    <row r="294" spans="1:9" x14ac:dyDescent="0.25">
      <c r="A294" s="13">
        <v>291</v>
      </c>
      <c r="B294" s="13">
        <v>44</v>
      </c>
      <c r="C294" s="13" t="str">
        <f t="shared" si="12"/>
        <v>Adult</v>
      </c>
      <c r="D294" s="13" t="s">
        <v>6</v>
      </c>
      <c r="E294" s="13" t="s">
        <v>7</v>
      </c>
      <c r="F294" s="13" t="s">
        <v>78</v>
      </c>
      <c r="G294" s="13">
        <v>13</v>
      </c>
      <c r="H294" s="13" t="str">
        <f t="shared" si="13"/>
        <v>Experienced</v>
      </c>
      <c r="I294" s="13" t="str">
        <f t="shared" si="14"/>
        <v>100000</v>
      </c>
    </row>
    <row r="295" spans="1:9" x14ac:dyDescent="0.25">
      <c r="A295" s="13">
        <v>292</v>
      </c>
      <c r="B295" s="13">
        <v>44</v>
      </c>
      <c r="C295" s="13" t="str">
        <f t="shared" si="12"/>
        <v>Adult</v>
      </c>
      <c r="D295" s="13" t="s">
        <v>9</v>
      </c>
      <c r="E295" s="13" t="s">
        <v>12</v>
      </c>
      <c r="F295" s="13" t="s">
        <v>108</v>
      </c>
      <c r="G295" s="13">
        <v>15</v>
      </c>
      <c r="H295" s="13" t="str">
        <f t="shared" si="13"/>
        <v>Experienced</v>
      </c>
      <c r="I295" s="13" t="str">
        <f t="shared" si="14"/>
        <v>100000</v>
      </c>
    </row>
    <row r="296" spans="1:9" x14ac:dyDescent="0.25">
      <c r="A296" s="13">
        <v>293</v>
      </c>
      <c r="B296" s="13">
        <v>44</v>
      </c>
      <c r="C296" s="13" t="str">
        <f t="shared" si="12"/>
        <v>Adult</v>
      </c>
      <c r="D296" s="13" t="s">
        <v>9</v>
      </c>
      <c r="E296" s="13" t="s">
        <v>12</v>
      </c>
      <c r="F296" s="13" t="s">
        <v>179</v>
      </c>
      <c r="G296" s="13">
        <v>16</v>
      </c>
      <c r="H296" s="13" t="str">
        <f t="shared" si="13"/>
        <v>Experienced</v>
      </c>
      <c r="I296" s="13" t="str">
        <f t="shared" si="14"/>
        <v>150000</v>
      </c>
    </row>
    <row r="297" spans="1:9" x14ac:dyDescent="0.25">
      <c r="A297" s="13">
        <v>294</v>
      </c>
      <c r="B297" s="13">
        <v>44</v>
      </c>
      <c r="C297" s="13" t="str">
        <f t="shared" si="12"/>
        <v>Adult</v>
      </c>
      <c r="D297" s="13" t="s">
        <v>9</v>
      </c>
      <c r="E297" s="13" t="s">
        <v>12</v>
      </c>
      <c r="F297" s="13" t="s">
        <v>67</v>
      </c>
      <c r="G297" s="13">
        <v>16</v>
      </c>
      <c r="H297" s="13" t="str">
        <f t="shared" si="13"/>
        <v>Experienced</v>
      </c>
      <c r="I297" s="13" t="str">
        <f t="shared" si="14"/>
        <v>150000</v>
      </c>
    </row>
    <row r="298" spans="1:9" x14ac:dyDescent="0.25">
      <c r="A298" s="13">
        <v>295</v>
      </c>
      <c r="B298" s="13">
        <v>44</v>
      </c>
      <c r="C298" s="13" t="str">
        <f t="shared" si="12"/>
        <v>Adult</v>
      </c>
      <c r="D298" s="13" t="s">
        <v>9</v>
      </c>
      <c r="E298" s="13" t="s">
        <v>12</v>
      </c>
      <c r="F298" s="13" t="s">
        <v>108</v>
      </c>
      <c r="G298" s="13">
        <v>15</v>
      </c>
      <c r="H298" s="13" t="str">
        <f t="shared" si="13"/>
        <v>Experienced</v>
      </c>
      <c r="I298" s="13" t="str">
        <f t="shared" si="14"/>
        <v>100000</v>
      </c>
    </row>
    <row r="299" spans="1:9" x14ac:dyDescent="0.25">
      <c r="A299" s="13">
        <v>296</v>
      </c>
      <c r="B299" s="13">
        <v>44</v>
      </c>
      <c r="C299" s="13" t="str">
        <f t="shared" si="12"/>
        <v>Adult</v>
      </c>
      <c r="D299" s="13" t="s">
        <v>9</v>
      </c>
      <c r="E299" s="13" t="s">
        <v>12</v>
      </c>
      <c r="F299" s="13" t="s">
        <v>179</v>
      </c>
      <c r="G299" s="13">
        <v>16</v>
      </c>
      <c r="H299" s="13" t="str">
        <f t="shared" si="13"/>
        <v>Experienced</v>
      </c>
      <c r="I299" s="13" t="str">
        <f t="shared" si="14"/>
        <v>150000</v>
      </c>
    </row>
    <row r="300" spans="1:9" x14ac:dyDescent="0.25">
      <c r="A300" s="13">
        <v>297</v>
      </c>
      <c r="B300" s="13">
        <v>44</v>
      </c>
      <c r="C300" s="13" t="str">
        <f t="shared" si="12"/>
        <v>Adult</v>
      </c>
      <c r="D300" s="13" t="s">
        <v>9</v>
      </c>
      <c r="E300" s="13" t="s">
        <v>12</v>
      </c>
      <c r="F300" s="13" t="s">
        <v>108</v>
      </c>
      <c r="G300" s="13">
        <v>15</v>
      </c>
      <c r="H300" s="13" t="str">
        <f t="shared" si="13"/>
        <v>Experienced</v>
      </c>
      <c r="I300" s="13" t="str">
        <f t="shared" si="14"/>
        <v>100000</v>
      </c>
    </row>
    <row r="301" spans="1:9" x14ac:dyDescent="0.25">
      <c r="A301" s="13">
        <v>298</v>
      </c>
      <c r="B301" s="13">
        <v>45</v>
      </c>
      <c r="C301" s="13" t="str">
        <f t="shared" si="12"/>
        <v>Adult</v>
      </c>
      <c r="D301" s="13" t="s">
        <v>6</v>
      </c>
      <c r="E301" s="13" t="s">
        <v>12</v>
      </c>
      <c r="F301" s="13" t="s">
        <v>13</v>
      </c>
      <c r="G301" s="13">
        <v>15</v>
      </c>
      <c r="H301" s="13" t="str">
        <f t="shared" si="13"/>
        <v>Experienced</v>
      </c>
      <c r="I301" s="13" t="str">
        <f t="shared" si="14"/>
        <v>100000</v>
      </c>
    </row>
    <row r="302" spans="1:9" x14ac:dyDescent="0.25">
      <c r="A302" s="13">
        <v>299</v>
      </c>
      <c r="B302" s="13">
        <v>45</v>
      </c>
      <c r="C302" s="13" t="str">
        <f t="shared" si="12"/>
        <v>Adult</v>
      </c>
      <c r="D302" s="13" t="s">
        <v>9</v>
      </c>
      <c r="E302" s="13" t="s">
        <v>10</v>
      </c>
      <c r="F302" s="13" t="s">
        <v>57</v>
      </c>
      <c r="G302" s="13">
        <v>16</v>
      </c>
      <c r="H302" s="13" t="str">
        <f t="shared" si="13"/>
        <v>Experienced</v>
      </c>
      <c r="I302" s="13" t="str">
        <f t="shared" si="14"/>
        <v>150000</v>
      </c>
    </row>
    <row r="303" spans="1:9" x14ac:dyDescent="0.25">
      <c r="A303" s="13">
        <v>300</v>
      </c>
      <c r="B303" s="13">
        <v>45</v>
      </c>
      <c r="C303" s="13" t="str">
        <f t="shared" si="12"/>
        <v>Adult</v>
      </c>
      <c r="D303" s="13" t="s">
        <v>6</v>
      </c>
      <c r="E303" s="13" t="s">
        <v>12</v>
      </c>
      <c r="F303" s="13" t="s">
        <v>75</v>
      </c>
      <c r="G303" s="13">
        <v>16</v>
      </c>
      <c r="H303" s="13" t="str">
        <f t="shared" si="13"/>
        <v>Experienced</v>
      </c>
      <c r="I303" s="13" t="str">
        <f t="shared" si="14"/>
        <v>150000</v>
      </c>
    </row>
    <row r="304" spans="1:9" x14ac:dyDescent="0.25">
      <c r="A304" s="13">
        <v>301</v>
      </c>
      <c r="B304" s="13">
        <v>45</v>
      </c>
      <c r="C304" s="13" t="str">
        <f t="shared" si="12"/>
        <v>Adult</v>
      </c>
      <c r="D304" s="13" t="s">
        <v>6</v>
      </c>
      <c r="E304" s="13" t="s">
        <v>7</v>
      </c>
      <c r="F304" s="13" t="s">
        <v>95</v>
      </c>
      <c r="G304" s="13">
        <v>20</v>
      </c>
      <c r="H304" s="13" t="str">
        <f t="shared" si="13"/>
        <v>Experienced</v>
      </c>
      <c r="I304" s="13" t="str">
        <f t="shared" si="14"/>
        <v>150000</v>
      </c>
    </row>
    <row r="305" spans="1:9" x14ac:dyDescent="0.25">
      <c r="A305" s="13">
        <v>302</v>
      </c>
      <c r="B305" s="13">
        <v>45</v>
      </c>
      <c r="C305" s="13" t="str">
        <f t="shared" si="12"/>
        <v>Adult</v>
      </c>
      <c r="D305" s="13" t="s">
        <v>6</v>
      </c>
      <c r="E305" s="13" t="s">
        <v>7</v>
      </c>
      <c r="F305" s="13" t="s">
        <v>116</v>
      </c>
      <c r="G305" s="13">
        <v>18</v>
      </c>
      <c r="H305" s="13" t="str">
        <f t="shared" si="13"/>
        <v>Experienced</v>
      </c>
      <c r="I305" s="13" t="str">
        <f t="shared" si="14"/>
        <v>150000</v>
      </c>
    </row>
    <row r="306" spans="1:9" x14ac:dyDescent="0.25">
      <c r="A306" s="13">
        <v>303</v>
      </c>
      <c r="B306" s="13">
        <v>45</v>
      </c>
      <c r="C306" s="13" t="str">
        <f t="shared" si="12"/>
        <v>Adult</v>
      </c>
      <c r="D306" s="13" t="s">
        <v>6</v>
      </c>
      <c r="E306" s="13" t="s">
        <v>10</v>
      </c>
      <c r="F306" s="13" t="s">
        <v>130</v>
      </c>
      <c r="G306" s="13">
        <v>19</v>
      </c>
      <c r="H306" s="13" t="str">
        <f t="shared" si="13"/>
        <v>Experienced</v>
      </c>
      <c r="I306" s="13" t="str">
        <f t="shared" si="14"/>
        <v>150000</v>
      </c>
    </row>
    <row r="307" spans="1:9" x14ac:dyDescent="0.25">
      <c r="A307" s="13">
        <v>304</v>
      </c>
      <c r="B307" s="13">
        <v>45</v>
      </c>
      <c r="C307" s="13" t="str">
        <f t="shared" si="12"/>
        <v>Adult</v>
      </c>
      <c r="D307" s="13" t="s">
        <v>6</v>
      </c>
      <c r="E307" s="13" t="s">
        <v>12</v>
      </c>
      <c r="F307" s="13" t="s">
        <v>164</v>
      </c>
      <c r="G307" s="13">
        <v>17</v>
      </c>
      <c r="H307" s="13" t="str">
        <f t="shared" si="13"/>
        <v>Experienced</v>
      </c>
      <c r="I307" s="13" t="str">
        <f t="shared" si="14"/>
        <v>150000</v>
      </c>
    </row>
    <row r="308" spans="1:9" x14ac:dyDescent="0.25">
      <c r="A308" s="13">
        <v>305</v>
      </c>
      <c r="B308" s="13">
        <v>45</v>
      </c>
      <c r="C308" s="13" t="str">
        <f t="shared" si="12"/>
        <v>Adult</v>
      </c>
      <c r="D308" s="13" t="s">
        <v>9</v>
      </c>
      <c r="E308" s="13" t="s">
        <v>12</v>
      </c>
      <c r="F308" s="13" t="s">
        <v>133</v>
      </c>
      <c r="G308" s="13">
        <v>15</v>
      </c>
      <c r="H308" s="13" t="str">
        <f t="shared" si="13"/>
        <v>Experienced</v>
      </c>
      <c r="I308" s="13" t="str">
        <f t="shared" si="14"/>
        <v>100000</v>
      </c>
    </row>
    <row r="309" spans="1:9" x14ac:dyDescent="0.25">
      <c r="A309" s="13">
        <v>306</v>
      </c>
      <c r="B309" s="13">
        <v>45</v>
      </c>
      <c r="C309" s="13" t="str">
        <f t="shared" si="12"/>
        <v>Adult</v>
      </c>
      <c r="D309" s="13" t="s">
        <v>6</v>
      </c>
      <c r="E309" s="13" t="s">
        <v>10</v>
      </c>
      <c r="F309" s="13" t="s">
        <v>117</v>
      </c>
      <c r="G309" s="13">
        <v>16</v>
      </c>
      <c r="H309" s="13" t="str">
        <f t="shared" si="13"/>
        <v>Experienced</v>
      </c>
      <c r="I309" s="13" t="str">
        <f t="shared" si="14"/>
        <v>150000</v>
      </c>
    </row>
    <row r="310" spans="1:9" x14ac:dyDescent="0.25">
      <c r="A310" s="13">
        <v>307</v>
      </c>
      <c r="B310" s="13">
        <v>45</v>
      </c>
      <c r="C310" s="13" t="str">
        <f t="shared" si="12"/>
        <v>Adult</v>
      </c>
      <c r="D310" s="13" t="s">
        <v>9</v>
      </c>
      <c r="E310" s="13" t="s">
        <v>12</v>
      </c>
      <c r="F310" s="13" t="s">
        <v>133</v>
      </c>
      <c r="G310" s="13">
        <v>15</v>
      </c>
      <c r="H310" s="13" t="str">
        <f t="shared" si="13"/>
        <v>Experienced</v>
      </c>
      <c r="I310" s="13" t="str">
        <f t="shared" si="14"/>
        <v>100000</v>
      </c>
    </row>
    <row r="311" spans="1:9" x14ac:dyDescent="0.25">
      <c r="A311" s="13">
        <v>308</v>
      </c>
      <c r="B311" s="13">
        <v>45</v>
      </c>
      <c r="C311" s="13" t="str">
        <f t="shared" si="12"/>
        <v>Adult</v>
      </c>
      <c r="D311" s="13" t="s">
        <v>6</v>
      </c>
      <c r="E311" s="13" t="s">
        <v>12</v>
      </c>
      <c r="F311" s="13" t="s">
        <v>179</v>
      </c>
      <c r="G311" s="13">
        <v>16</v>
      </c>
      <c r="H311" s="13" t="str">
        <f t="shared" si="13"/>
        <v>Experienced</v>
      </c>
      <c r="I311" s="13" t="str">
        <f t="shared" si="14"/>
        <v>150000</v>
      </c>
    </row>
    <row r="312" spans="1:9" x14ac:dyDescent="0.25">
      <c r="A312" s="13">
        <v>309</v>
      </c>
      <c r="B312" s="13">
        <v>45</v>
      </c>
      <c r="C312" s="13" t="str">
        <f t="shared" si="12"/>
        <v>Adult</v>
      </c>
      <c r="D312" s="13" t="s">
        <v>9</v>
      </c>
      <c r="E312" s="13" t="s">
        <v>10</v>
      </c>
      <c r="F312" s="13" t="s">
        <v>97</v>
      </c>
      <c r="G312" s="13">
        <v>14</v>
      </c>
      <c r="H312" s="13" t="str">
        <f t="shared" si="13"/>
        <v>Experienced</v>
      </c>
      <c r="I312" s="13" t="str">
        <f t="shared" si="14"/>
        <v>100000</v>
      </c>
    </row>
    <row r="313" spans="1:9" x14ac:dyDescent="0.25">
      <c r="A313" s="13">
        <v>310</v>
      </c>
      <c r="B313" s="13">
        <v>45</v>
      </c>
      <c r="C313" s="13" t="str">
        <f t="shared" si="12"/>
        <v>Adult</v>
      </c>
      <c r="D313" s="13" t="s">
        <v>6</v>
      </c>
      <c r="E313" s="13" t="s">
        <v>12</v>
      </c>
      <c r="F313" s="13" t="s">
        <v>179</v>
      </c>
      <c r="G313" s="13">
        <v>16</v>
      </c>
      <c r="H313" s="13" t="str">
        <f t="shared" si="13"/>
        <v>Experienced</v>
      </c>
      <c r="I313" s="13" t="str">
        <f t="shared" si="14"/>
        <v>150000</v>
      </c>
    </row>
    <row r="314" spans="1:9" x14ac:dyDescent="0.25">
      <c r="A314" s="13">
        <v>311</v>
      </c>
      <c r="B314" s="13">
        <v>45</v>
      </c>
      <c r="C314" s="13" t="str">
        <f t="shared" si="12"/>
        <v>Adult</v>
      </c>
      <c r="D314" s="13" t="s">
        <v>9</v>
      </c>
      <c r="E314" s="13" t="s">
        <v>10</v>
      </c>
      <c r="F314" s="13" t="s">
        <v>90</v>
      </c>
      <c r="G314" s="13">
        <v>16</v>
      </c>
      <c r="H314" s="13" t="str">
        <f t="shared" si="13"/>
        <v>Experienced</v>
      </c>
      <c r="I314" s="13" t="str">
        <f t="shared" si="14"/>
        <v>150000</v>
      </c>
    </row>
    <row r="315" spans="1:9" x14ac:dyDescent="0.25">
      <c r="A315" s="13">
        <v>312</v>
      </c>
      <c r="B315" s="13">
        <v>45</v>
      </c>
      <c r="C315" s="13" t="str">
        <f t="shared" si="12"/>
        <v>Adult</v>
      </c>
      <c r="D315" s="13" t="s">
        <v>9</v>
      </c>
      <c r="E315" s="13" t="s">
        <v>12</v>
      </c>
      <c r="F315" s="13" t="s">
        <v>154</v>
      </c>
      <c r="G315" s="13">
        <v>16</v>
      </c>
      <c r="H315" s="13" t="str">
        <f t="shared" si="13"/>
        <v>Experienced</v>
      </c>
      <c r="I315" s="13" t="str">
        <f t="shared" si="14"/>
        <v>150000</v>
      </c>
    </row>
    <row r="316" spans="1:9" x14ac:dyDescent="0.25">
      <c r="A316" s="13">
        <v>313</v>
      </c>
      <c r="B316" s="13">
        <v>45</v>
      </c>
      <c r="C316" s="13" t="str">
        <f t="shared" si="12"/>
        <v>Adult</v>
      </c>
      <c r="D316" s="13" t="s">
        <v>6</v>
      </c>
      <c r="E316" s="13" t="s">
        <v>10</v>
      </c>
      <c r="F316" s="13" t="s">
        <v>184</v>
      </c>
      <c r="G316" s="13">
        <v>19</v>
      </c>
      <c r="H316" s="13" t="str">
        <f t="shared" si="13"/>
        <v>Experienced</v>
      </c>
      <c r="I316" s="13" t="str">
        <f t="shared" si="14"/>
        <v>150000</v>
      </c>
    </row>
    <row r="317" spans="1:9" x14ac:dyDescent="0.25">
      <c r="A317" s="13">
        <v>314</v>
      </c>
      <c r="B317" s="13">
        <v>45</v>
      </c>
      <c r="C317" s="13" t="str">
        <f t="shared" si="12"/>
        <v>Adult</v>
      </c>
      <c r="D317" s="13" t="s">
        <v>9</v>
      </c>
      <c r="E317" s="13" t="s">
        <v>12</v>
      </c>
      <c r="F317" s="13" t="s">
        <v>154</v>
      </c>
      <c r="G317" s="13">
        <v>16</v>
      </c>
      <c r="H317" s="13" t="str">
        <f t="shared" si="13"/>
        <v>Experienced</v>
      </c>
      <c r="I317" s="13" t="str">
        <f t="shared" si="14"/>
        <v>150000</v>
      </c>
    </row>
    <row r="318" spans="1:9" x14ac:dyDescent="0.25">
      <c r="A318" s="13">
        <v>315</v>
      </c>
      <c r="B318" s="13">
        <v>46</v>
      </c>
      <c r="C318" s="13" t="str">
        <f t="shared" si="12"/>
        <v>Adult</v>
      </c>
      <c r="D318" s="13" t="s">
        <v>6</v>
      </c>
      <c r="E318" s="13" t="s">
        <v>12</v>
      </c>
      <c r="F318" s="13" t="s">
        <v>13</v>
      </c>
      <c r="G318" s="13">
        <v>20</v>
      </c>
      <c r="H318" s="13" t="str">
        <f t="shared" si="13"/>
        <v>Experienced</v>
      </c>
      <c r="I318" s="13" t="str">
        <f t="shared" si="14"/>
        <v>150000</v>
      </c>
    </row>
    <row r="319" spans="1:9" x14ac:dyDescent="0.25">
      <c r="A319" s="13">
        <v>316</v>
      </c>
      <c r="B319" s="13">
        <v>46</v>
      </c>
      <c r="C319" s="13" t="str">
        <f t="shared" si="12"/>
        <v>Adult</v>
      </c>
      <c r="D319" s="13" t="s">
        <v>6</v>
      </c>
      <c r="E319" s="13" t="s">
        <v>7</v>
      </c>
      <c r="F319" s="13" t="s">
        <v>70</v>
      </c>
      <c r="G319" s="13">
        <v>19</v>
      </c>
      <c r="H319" s="13" t="str">
        <f t="shared" si="13"/>
        <v>Experienced</v>
      </c>
      <c r="I319" s="13" t="str">
        <f t="shared" si="14"/>
        <v>150000</v>
      </c>
    </row>
    <row r="320" spans="1:9" x14ac:dyDescent="0.25">
      <c r="A320" s="13">
        <v>317</v>
      </c>
      <c r="B320" s="13">
        <v>46</v>
      </c>
      <c r="C320" s="13" t="str">
        <f t="shared" si="12"/>
        <v>Adult</v>
      </c>
      <c r="D320" s="13" t="s">
        <v>6</v>
      </c>
      <c r="E320" s="13" t="s">
        <v>10</v>
      </c>
      <c r="F320" s="13" t="s">
        <v>87</v>
      </c>
      <c r="G320" s="13">
        <v>21</v>
      </c>
      <c r="H320" s="13" t="str">
        <f t="shared" si="13"/>
        <v>Experienced</v>
      </c>
      <c r="I320" s="13" t="str">
        <f t="shared" si="14"/>
        <v>200000</v>
      </c>
    </row>
    <row r="321" spans="1:9" x14ac:dyDescent="0.25">
      <c r="A321" s="13">
        <v>318</v>
      </c>
      <c r="B321" s="13">
        <v>46</v>
      </c>
      <c r="C321" s="13" t="str">
        <f t="shared" si="12"/>
        <v>Adult</v>
      </c>
      <c r="D321" s="13" t="s">
        <v>6</v>
      </c>
      <c r="E321" s="13" t="s">
        <v>10</v>
      </c>
      <c r="F321" s="13" t="s">
        <v>87</v>
      </c>
      <c r="G321" s="13">
        <v>19</v>
      </c>
      <c r="H321" s="13" t="str">
        <f t="shared" si="13"/>
        <v>Experienced</v>
      </c>
      <c r="I321" s="13" t="str">
        <f t="shared" si="14"/>
        <v>150000</v>
      </c>
    </row>
    <row r="322" spans="1:9" x14ac:dyDescent="0.25">
      <c r="A322" s="13">
        <v>319</v>
      </c>
      <c r="B322" s="13">
        <v>46</v>
      </c>
      <c r="C322" s="13" t="str">
        <f t="shared" si="12"/>
        <v>Adult</v>
      </c>
      <c r="D322" s="13" t="s">
        <v>6</v>
      </c>
      <c r="E322" s="13" t="s">
        <v>12</v>
      </c>
      <c r="F322" s="13" t="s">
        <v>147</v>
      </c>
      <c r="G322" s="13">
        <v>18</v>
      </c>
      <c r="H322" s="13" t="str">
        <f t="shared" si="13"/>
        <v>Experienced</v>
      </c>
      <c r="I322" s="13" t="str">
        <f t="shared" si="14"/>
        <v>150000</v>
      </c>
    </row>
    <row r="323" spans="1:9" x14ac:dyDescent="0.25">
      <c r="A323" s="13">
        <v>320</v>
      </c>
      <c r="B323" s="13">
        <v>46</v>
      </c>
      <c r="C323" s="13" t="str">
        <f t="shared" si="12"/>
        <v>Adult</v>
      </c>
      <c r="D323" s="13" t="s">
        <v>6</v>
      </c>
      <c r="E323" s="13" t="s">
        <v>10</v>
      </c>
      <c r="F323" s="13" t="s">
        <v>66</v>
      </c>
      <c r="G323" s="13">
        <v>20</v>
      </c>
      <c r="H323" s="13" t="str">
        <f t="shared" si="13"/>
        <v>Experienced</v>
      </c>
      <c r="I323" s="13" t="str">
        <f t="shared" si="14"/>
        <v>150000</v>
      </c>
    </row>
    <row r="324" spans="1:9" x14ac:dyDescent="0.25">
      <c r="A324" s="13">
        <v>321</v>
      </c>
      <c r="B324" s="13">
        <v>46</v>
      </c>
      <c r="C324" s="13" t="str">
        <f t="shared" ref="C324:C376" si="15">IF(B324&gt;=50,"Senior",IF(B324&gt;=25,"Adult","Teenager"))</f>
        <v>Adult</v>
      </c>
      <c r="D324" s="13" t="s">
        <v>6</v>
      </c>
      <c r="E324" s="13" t="s">
        <v>12</v>
      </c>
      <c r="F324" s="13" t="s">
        <v>67</v>
      </c>
      <c r="G324" s="13">
        <v>18</v>
      </c>
      <c r="H324" s="13" t="str">
        <f t="shared" si="13"/>
        <v>Experienced</v>
      </c>
      <c r="I324" s="13" t="str">
        <f t="shared" si="14"/>
        <v>150000</v>
      </c>
    </row>
    <row r="325" spans="1:9" x14ac:dyDescent="0.25">
      <c r="A325" s="13">
        <v>322</v>
      </c>
      <c r="B325" s="13">
        <v>46</v>
      </c>
      <c r="C325" s="13" t="str">
        <f t="shared" si="15"/>
        <v>Adult</v>
      </c>
      <c r="D325" s="13" t="s">
        <v>6</v>
      </c>
      <c r="E325" s="13" t="s">
        <v>12</v>
      </c>
      <c r="F325" s="13" t="s">
        <v>164</v>
      </c>
      <c r="G325" s="13">
        <v>19</v>
      </c>
      <c r="H325" s="13" t="str">
        <f t="shared" ref="H325:H376" si="16">IF(G325&gt;=4,"Experienced",IF(G325&lt;=3,"Fresher"))</f>
        <v>Experienced</v>
      </c>
      <c r="I325" s="13" t="str">
        <f t="shared" ref="I325:I376" si="17">IF(G325&lt;=1,"20000",IF(G325&lt;=3,"30000",IF(G325&lt;=10,"60000",IF(G325&lt;=15,"100000",IF(G325&lt;=20,"150000",IF(G325&lt;=25,"200000"))))))</f>
        <v>150000</v>
      </c>
    </row>
    <row r="326" spans="1:9" x14ac:dyDescent="0.25">
      <c r="A326" s="13">
        <v>323</v>
      </c>
      <c r="B326" s="13">
        <v>46</v>
      </c>
      <c r="C326" s="13" t="str">
        <f t="shared" si="15"/>
        <v>Adult</v>
      </c>
      <c r="D326" s="13" t="s">
        <v>6</v>
      </c>
      <c r="E326" s="13" t="s">
        <v>12</v>
      </c>
      <c r="F326" s="13" t="s">
        <v>67</v>
      </c>
      <c r="G326" s="13">
        <v>18</v>
      </c>
      <c r="H326" s="13" t="str">
        <f t="shared" si="16"/>
        <v>Experienced</v>
      </c>
      <c r="I326" s="13" t="str">
        <f t="shared" si="17"/>
        <v>150000</v>
      </c>
    </row>
    <row r="327" spans="1:9" x14ac:dyDescent="0.25">
      <c r="A327" s="13">
        <v>324</v>
      </c>
      <c r="B327" s="13">
        <v>46</v>
      </c>
      <c r="C327" s="13" t="str">
        <f t="shared" si="15"/>
        <v>Adult</v>
      </c>
      <c r="D327" s="13" t="s">
        <v>6</v>
      </c>
      <c r="E327" s="13" t="s">
        <v>12</v>
      </c>
      <c r="F327" s="13" t="s">
        <v>164</v>
      </c>
      <c r="G327" s="13">
        <v>17</v>
      </c>
      <c r="H327" s="13" t="str">
        <f t="shared" si="16"/>
        <v>Experienced</v>
      </c>
      <c r="I327" s="13" t="str">
        <f t="shared" si="17"/>
        <v>150000</v>
      </c>
    </row>
    <row r="328" spans="1:9" x14ac:dyDescent="0.25">
      <c r="A328" s="13">
        <v>325</v>
      </c>
      <c r="B328" s="13">
        <v>47</v>
      </c>
      <c r="C328" s="13" t="str">
        <f t="shared" si="15"/>
        <v>Adult</v>
      </c>
      <c r="D328" s="13" t="s">
        <v>6</v>
      </c>
      <c r="E328" s="13" t="s">
        <v>10</v>
      </c>
      <c r="F328" s="13" t="s">
        <v>32</v>
      </c>
      <c r="G328" s="13">
        <v>19</v>
      </c>
      <c r="H328" s="13" t="str">
        <f t="shared" si="16"/>
        <v>Experienced</v>
      </c>
      <c r="I328" s="13" t="str">
        <f t="shared" si="17"/>
        <v>150000</v>
      </c>
    </row>
    <row r="329" spans="1:9" x14ac:dyDescent="0.25">
      <c r="A329" s="13">
        <v>326</v>
      </c>
      <c r="B329" s="13">
        <v>47</v>
      </c>
      <c r="C329" s="13" t="str">
        <f t="shared" si="15"/>
        <v>Adult</v>
      </c>
      <c r="D329" s="13" t="s">
        <v>6</v>
      </c>
      <c r="E329" s="13" t="s">
        <v>10</v>
      </c>
      <c r="F329" s="13" t="s">
        <v>62</v>
      </c>
      <c r="G329" s="13">
        <v>19</v>
      </c>
      <c r="H329" s="13" t="str">
        <f t="shared" si="16"/>
        <v>Experienced</v>
      </c>
      <c r="I329" s="13" t="str">
        <f t="shared" si="17"/>
        <v>150000</v>
      </c>
    </row>
    <row r="330" spans="1:9" x14ac:dyDescent="0.25">
      <c r="A330" s="13">
        <v>327</v>
      </c>
      <c r="B330" s="13">
        <v>47</v>
      </c>
      <c r="C330" s="13" t="str">
        <f t="shared" si="15"/>
        <v>Adult</v>
      </c>
      <c r="D330" s="13" t="s">
        <v>6</v>
      </c>
      <c r="E330" s="13" t="s">
        <v>12</v>
      </c>
      <c r="F330" s="13" t="s">
        <v>67</v>
      </c>
      <c r="G330" s="13">
        <v>21</v>
      </c>
      <c r="H330" s="13" t="str">
        <f t="shared" si="16"/>
        <v>Experienced</v>
      </c>
      <c r="I330" s="13" t="str">
        <f t="shared" si="17"/>
        <v>200000</v>
      </c>
    </row>
    <row r="331" spans="1:9" x14ac:dyDescent="0.25">
      <c r="A331" s="13">
        <v>328</v>
      </c>
      <c r="B331" s="13">
        <v>47</v>
      </c>
      <c r="C331" s="13" t="str">
        <f t="shared" si="15"/>
        <v>Adult</v>
      </c>
      <c r="D331" s="13" t="s">
        <v>6</v>
      </c>
      <c r="E331" s="13" t="s">
        <v>12</v>
      </c>
      <c r="F331" s="13" t="s">
        <v>92</v>
      </c>
      <c r="G331" s="13">
        <v>22</v>
      </c>
      <c r="H331" s="13" t="str">
        <f t="shared" si="16"/>
        <v>Experienced</v>
      </c>
      <c r="I331" s="13" t="str">
        <f t="shared" si="17"/>
        <v>200000</v>
      </c>
    </row>
    <row r="332" spans="1:9" x14ac:dyDescent="0.25">
      <c r="A332" s="13">
        <v>329</v>
      </c>
      <c r="B332" s="13">
        <v>47</v>
      </c>
      <c r="C332" s="13" t="str">
        <f t="shared" si="15"/>
        <v>Adult</v>
      </c>
      <c r="D332" s="13" t="s">
        <v>6</v>
      </c>
      <c r="E332" s="13" t="s">
        <v>12</v>
      </c>
      <c r="F332" s="13" t="s">
        <v>120</v>
      </c>
      <c r="G332" s="13">
        <v>22</v>
      </c>
      <c r="H332" s="13" t="str">
        <f t="shared" si="16"/>
        <v>Experienced</v>
      </c>
      <c r="I332" s="13" t="str">
        <f t="shared" si="17"/>
        <v>200000</v>
      </c>
    </row>
    <row r="333" spans="1:9" x14ac:dyDescent="0.25">
      <c r="A333" s="13">
        <v>330</v>
      </c>
      <c r="B333" s="13">
        <v>47</v>
      </c>
      <c r="C333" s="13" t="str">
        <f t="shared" si="15"/>
        <v>Adult</v>
      </c>
      <c r="D333" s="13" t="s">
        <v>6</v>
      </c>
      <c r="E333" s="13" t="s">
        <v>7</v>
      </c>
      <c r="F333" s="13" t="s">
        <v>126</v>
      </c>
      <c r="G333" s="13">
        <v>20</v>
      </c>
      <c r="H333" s="13" t="str">
        <f t="shared" si="16"/>
        <v>Experienced</v>
      </c>
      <c r="I333" s="13" t="str">
        <f t="shared" si="17"/>
        <v>150000</v>
      </c>
    </row>
    <row r="334" spans="1:9" x14ac:dyDescent="0.25">
      <c r="A334" s="13">
        <v>331</v>
      </c>
      <c r="B334" s="13">
        <v>47</v>
      </c>
      <c r="C334" s="13" t="str">
        <f t="shared" si="15"/>
        <v>Adult</v>
      </c>
      <c r="D334" s="13" t="s">
        <v>6</v>
      </c>
      <c r="E334" s="13" t="s">
        <v>10</v>
      </c>
      <c r="F334" s="13" t="s">
        <v>161</v>
      </c>
      <c r="G334" s="13">
        <v>19</v>
      </c>
      <c r="H334" s="13" t="str">
        <f t="shared" si="16"/>
        <v>Experienced</v>
      </c>
      <c r="I334" s="13" t="str">
        <f t="shared" si="17"/>
        <v>150000</v>
      </c>
    </row>
    <row r="335" spans="1:9" x14ac:dyDescent="0.25">
      <c r="A335" s="13">
        <v>332</v>
      </c>
      <c r="B335" s="13">
        <v>47</v>
      </c>
      <c r="C335" s="13" t="str">
        <f t="shared" si="15"/>
        <v>Adult</v>
      </c>
      <c r="D335" s="13" t="s">
        <v>6</v>
      </c>
      <c r="E335" s="13" t="s">
        <v>10</v>
      </c>
      <c r="F335" s="13" t="s">
        <v>149</v>
      </c>
      <c r="G335" s="13">
        <v>20</v>
      </c>
      <c r="H335" s="13" t="str">
        <f t="shared" si="16"/>
        <v>Experienced</v>
      </c>
      <c r="I335" s="13" t="str">
        <f t="shared" si="17"/>
        <v>150000</v>
      </c>
    </row>
    <row r="336" spans="1:9" x14ac:dyDescent="0.25">
      <c r="A336" s="13">
        <v>333</v>
      </c>
      <c r="B336" s="13">
        <v>47</v>
      </c>
      <c r="C336" s="13" t="str">
        <f t="shared" si="15"/>
        <v>Adult</v>
      </c>
      <c r="D336" s="13" t="s">
        <v>6</v>
      </c>
      <c r="E336" s="13" t="s">
        <v>10</v>
      </c>
      <c r="F336" s="13" t="s">
        <v>66</v>
      </c>
      <c r="G336" s="13">
        <v>20</v>
      </c>
      <c r="H336" s="13" t="str">
        <f t="shared" si="16"/>
        <v>Experienced</v>
      </c>
      <c r="I336" s="13" t="str">
        <f t="shared" si="17"/>
        <v>150000</v>
      </c>
    </row>
    <row r="337" spans="1:9" x14ac:dyDescent="0.25">
      <c r="A337" s="13">
        <v>334</v>
      </c>
      <c r="B337" s="13">
        <v>47</v>
      </c>
      <c r="C337" s="13" t="str">
        <f t="shared" si="15"/>
        <v>Adult</v>
      </c>
      <c r="D337" s="13" t="s">
        <v>9</v>
      </c>
      <c r="E337" s="13" t="s">
        <v>10</v>
      </c>
      <c r="F337" s="13" t="s">
        <v>57</v>
      </c>
      <c r="G337" s="13">
        <v>20</v>
      </c>
      <c r="H337" s="13" t="str">
        <f t="shared" si="16"/>
        <v>Experienced</v>
      </c>
      <c r="I337" s="13" t="str">
        <f t="shared" si="17"/>
        <v>150000</v>
      </c>
    </row>
    <row r="338" spans="1:9" x14ac:dyDescent="0.25">
      <c r="A338" s="13">
        <v>335</v>
      </c>
      <c r="B338" s="13">
        <v>47</v>
      </c>
      <c r="C338" s="13" t="str">
        <f t="shared" si="15"/>
        <v>Adult</v>
      </c>
      <c r="D338" s="13" t="s">
        <v>6</v>
      </c>
      <c r="E338" s="13" t="s">
        <v>10</v>
      </c>
      <c r="F338" s="13" t="s">
        <v>57</v>
      </c>
      <c r="G338" s="13">
        <v>19</v>
      </c>
      <c r="H338" s="13" t="str">
        <f t="shared" si="16"/>
        <v>Experienced</v>
      </c>
      <c r="I338" s="13" t="str">
        <f t="shared" si="17"/>
        <v>150000</v>
      </c>
    </row>
    <row r="339" spans="1:9" x14ac:dyDescent="0.25">
      <c r="A339" s="13">
        <v>336</v>
      </c>
      <c r="B339" s="13">
        <v>47</v>
      </c>
      <c r="C339" s="13" t="str">
        <f t="shared" si="15"/>
        <v>Adult</v>
      </c>
      <c r="D339" s="13" t="s">
        <v>6</v>
      </c>
      <c r="E339" s="13" t="s">
        <v>10</v>
      </c>
      <c r="F339" s="13" t="s">
        <v>57</v>
      </c>
      <c r="G339" s="13">
        <v>19</v>
      </c>
      <c r="H339" s="13" t="str">
        <f t="shared" si="16"/>
        <v>Experienced</v>
      </c>
      <c r="I339" s="13" t="str">
        <f t="shared" si="17"/>
        <v>150000</v>
      </c>
    </row>
    <row r="340" spans="1:9" x14ac:dyDescent="0.25">
      <c r="A340" s="13">
        <v>337</v>
      </c>
      <c r="B340" s="13">
        <v>47</v>
      </c>
      <c r="C340" s="13" t="str">
        <f t="shared" si="15"/>
        <v>Adult</v>
      </c>
      <c r="D340" s="13" t="s">
        <v>6</v>
      </c>
      <c r="E340" s="13" t="s">
        <v>12</v>
      </c>
      <c r="F340" s="13" t="s">
        <v>184</v>
      </c>
      <c r="G340" s="13">
        <v>20</v>
      </c>
      <c r="H340" s="13" t="str">
        <f t="shared" si="16"/>
        <v>Experienced</v>
      </c>
      <c r="I340" s="13" t="str">
        <f t="shared" si="17"/>
        <v>150000</v>
      </c>
    </row>
    <row r="341" spans="1:9" x14ac:dyDescent="0.25">
      <c r="A341" s="13">
        <v>338</v>
      </c>
      <c r="B341" s="13">
        <v>47</v>
      </c>
      <c r="C341" s="13" t="str">
        <f t="shared" si="15"/>
        <v>Adult</v>
      </c>
      <c r="D341" s="13" t="s">
        <v>6</v>
      </c>
      <c r="E341" s="13" t="s">
        <v>10</v>
      </c>
      <c r="F341" s="13" t="s">
        <v>66</v>
      </c>
      <c r="G341" s="13">
        <v>19</v>
      </c>
      <c r="H341" s="13" t="str">
        <f t="shared" si="16"/>
        <v>Experienced</v>
      </c>
      <c r="I341" s="13" t="str">
        <f t="shared" si="17"/>
        <v>150000</v>
      </c>
    </row>
    <row r="342" spans="1:9" x14ac:dyDescent="0.25">
      <c r="A342" s="13">
        <v>339</v>
      </c>
      <c r="B342" s="13">
        <v>47</v>
      </c>
      <c r="C342" s="13" t="str">
        <f t="shared" si="15"/>
        <v>Adult</v>
      </c>
      <c r="D342" s="13" t="s">
        <v>6</v>
      </c>
      <c r="E342" s="13" t="s">
        <v>10</v>
      </c>
      <c r="F342" s="13" t="s">
        <v>66</v>
      </c>
      <c r="G342" s="13">
        <v>19</v>
      </c>
      <c r="H342" s="13" t="str">
        <f t="shared" si="16"/>
        <v>Experienced</v>
      </c>
      <c r="I342" s="13" t="str">
        <f t="shared" si="17"/>
        <v>150000</v>
      </c>
    </row>
    <row r="343" spans="1:9" x14ac:dyDescent="0.25">
      <c r="A343" s="13">
        <v>340</v>
      </c>
      <c r="B343" s="13">
        <v>48</v>
      </c>
      <c r="C343" s="13" t="str">
        <f t="shared" si="15"/>
        <v>Adult</v>
      </c>
      <c r="D343" s="13" t="s">
        <v>9</v>
      </c>
      <c r="E343" s="13" t="s">
        <v>7</v>
      </c>
      <c r="F343" s="13" t="s">
        <v>22</v>
      </c>
      <c r="G343" s="13">
        <v>18</v>
      </c>
      <c r="H343" s="13" t="str">
        <f t="shared" si="16"/>
        <v>Experienced</v>
      </c>
      <c r="I343" s="13" t="str">
        <f t="shared" si="17"/>
        <v>150000</v>
      </c>
    </row>
    <row r="344" spans="1:9" x14ac:dyDescent="0.25">
      <c r="A344" s="13">
        <v>341</v>
      </c>
      <c r="B344" s="13">
        <v>48</v>
      </c>
      <c r="C344" s="13" t="str">
        <f t="shared" si="15"/>
        <v>Adult</v>
      </c>
      <c r="D344" s="13" t="s">
        <v>6</v>
      </c>
      <c r="E344" s="13" t="s">
        <v>10</v>
      </c>
      <c r="F344" s="13" t="s">
        <v>51</v>
      </c>
      <c r="G344" s="13">
        <v>18</v>
      </c>
      <c r="H344" s="13" t="str">
        <f t="shared" si="16"/>
        <v>Experienced</v>
      </c>
      <c r="I344" s="13" t="str">
        <f t="shared" si="17"/>
        <v>150000</v>
      </c>
    </row>
    <row r="345" spans="1:9" x14ac:dyDescent="0.25">
      <c r="A345" s="13">
        <v>342</v>
      </c>
      <c r="B345" s="13">
        <v>48</v>
      </c>
      <c r="C345" s="13" t="str">
        <f t="shared" si="15"/>
        <v>Adult</v>
      </c>
      <c r="D345" s="13" t="s">
        <v>9</v>
      </c>
      <c r="E345" s="13" t="s">
        <v>10</v>
      </c>
      <c r="F345" s="13" t="s">
        <v>79</v>
      </c>
      <c r="G345" s="13">
        <v>20</v>
      </c>
      <c r="H345" s="13" t="str">
        <f t="shared" si="16"/>
        <v>Experienced</v>
      </c>
      <c r="I345" s="13" t="str">
        <f t="shared" si="17"/>
        <v>150000</v>
      </c>
    </row>
    <row r="346" spans="1:9" x14ac:dyDescent="0.25">
      <c r="A346" s="13">
        <v>343</v>
      </c>
      <c r="B346" s="13">
        <v>48</v>
      </c>
      <c r="C346" s="13" t="str">
        <f t="shared" si="15"/>
        <v>Adult</v>
      </c>
      <c r="D346" s="13" t="s">
        <v>6</v>
      </c>
      <c r="E346" s="13" t="s">
        <v>12</v>
      </c>
      <c r="F346" s="13" t="s">
        <v>111</v>
      </c>
      <c r="G346" s="13">
        <v>20</v>
      </c>
      <c r="H346" s="13" t="str">
        <f t="shared" si="16"/>
        <v>Experienced</v>
      </c>
      <c r="I346" s="13" t="str">
        <f t="shared" si="17"/>
        <v>150000</v>
      </c>
    </row>
    <row r="347" spans="1:9" x14ac:dyDescent="0.25">
      <c r="A347" s="13">
        <v>344</v>
      </c>
      <c r="B347" s="13">
        <v>48</v>
      </c>
      <c r="C347" s="13" t="str">
        <f t="shared" si="15"/>
        <v>Adult</v>
      </c>
      <c r="D347" s="13" t="s">
        <v>6</v>
      </c>
      <c r="E347" s="13" t="s">
        <v>10</v>
      </c>
      <c r="F347" s="13" t="s">
        <v>141</v>
      </c>
      <c r="G347" s="13">
        <v>21</v>
      </c>
      <c r="H347" s="13" t="str">
        <f t="shared" si="16"/>
        <v>Experienced</v>
      </c>
      <c r="I347" s="13" t="str">
        <f t="shared" si="17"/>
        <v>200000</v>
      </c>
    </row>
    <row r="348" spans="1:9" x14ac:dyDescent="0.25">
      <c r="A348" s="13">
        <v>345</v>
      </c>
      <c r="B348" s="13">
        <v>48</v>
      </c>
      <c r="C348" s="13" t="str">
        <f t="shared" si="15"/>
        <v>Adult</v>
      </c>
      <c r="D348" s="13" t="s">
        <v>6</v>
      </c>
      <c r="E348" s="13" t="s">
        <v>10</v>
      </c>
      <c r="F348" s="13" t="s">
        <v>57</v>
      </c>
      <c r="G348" s="13">
        <v>19</v>
      </c>
      <c r="H348" s="13" t="str">
        <f t="shared" si="16"/>
        <v>Experienced</v>
      </c>
      <c r="I348" s="13" t="str">
        <f t="shared" si="17"/>
        <v>150000</v>
      </c>
    </row>
    <row r="349" spans="1:9" x14ac:dyDescent="0.25">
      <c r="A349" s="13">
        <v>346</v>
      </c>
      <c r="B349" s="13">
        <v>48</v>
      </c>
      <c r="C349" s="13" t="str">
        <f t="shared" si="15"/>
        <v>Adult</v>
      </c>
      <c r="D349" s="13" t="s">
        <v>9</v>
      </c>
      <c r="E349" s="13" t="s">
        <v>10</v>
      </c>
      <c r="F349" s="13" t="s">
        <v>181</v>
      </c>
      <c r="G349" s="13">
        <v>20</v>
      </c>
      <c r="H349" s="13" t="str">
        <f t="shared" si="16"/>
        <v>Experienced</v>
      </c>
      <c r="I349" s="13" t="str">
        <f t="shared" si="17"/>
        <v>150000</v>
      </c>
    </row>
    <row r="350" spans="1:9" x14ac:dyDescent="0.25">
      <c r="A350" s="13">
        <v>347</v>
      </c>
      <c r="B350" s="13">
        <v>48</v>
      </c>
      <c r="C350" s="13" t="str">
        <f t="shared" si="15"/>
        <v>Adult</v>
      </c>
      <c r="D350" s="13" t="s">
        <v>6</v>
      </c>
      <c r="E350" s="13" t="s">
        <v>10</v>
      </c>
      <c r="F350" s="13" t="s">
        <v>57</v>
      </c>
      <c r="G350" s="13">
        <v>21</v>
      </c>
      <c r="H350" s="13" t="str">
        <f t="shared" si="16"/>
        <v>Experienced</v>
      </c>
      <c r="I350" s="13" t="str">
        <f t="shared" si="17"/>
        <v>200000</v>
      </c>
    </row>
    <row r="351" spans="1:9" x14ac:dyDescent="0.25">
      <c r="A351" s="13">
        <v>348</v>
      </c>
      <c r="B351" s="13">
        <v>48</v>
      </c>
      <c r="C351" s="13" t="str">
        <f t="shared" si="15"/>
        <v>Adult</v>
      </c>
      <c r="D351" s="13" t="s">
        <v>6</v>
      </c>
      <c r="E351" s="13" t="s">
        <v>10</v>
      </c>
      <c r="F351" s="13" t="s">
        <v>57</v>
      </c>
      <c r="G351" s="13">
        <v>21</v>
      </c>
      <c r="H351" s="13" t="str">
        <f t="shared" si="16"/>
        <v>Experienced</v>
      </c>
      <c r="I351" s="13" t="str">
        <f t="shared" si="17"/>
        <v>200000</v>
      </c>
    </row>
    <row r="352" spans="1:9" x14ac:dyDescent="0.25">
      <c r="A352" s="13">
        <v>349</v>
      </c>
      <c r="B352" s="13">
        <v>49</v>
      </c>
      <c r="C352" s="13" t="str">
        <f t="shared" si="15"/>
        <v>Adult</v>
      </c>
      <c r="D352" s="13" t="s">
        <v>6</v>
      </c>
      <c r="E352" s="13" t="s">
        <v>7</v>
      </c>
      <c r="F352" s="13" t="s">
        <v>49</v>
      </c>
      <c r="G352" s="13">
        <v>21</v>
      </c>
      <c r="H352" s="13" t="str">
        <f t="shared" si="16"/>
        <v>Experienced</v>
      </c>
      <c r="I352" s="13" t="str">
        <f t="shared" si="17"/>
        <v>200000</v>
      </c>
    </row>
    <row r="353" spans="1:9" x14ac:dyDescent="0.25">
      <c r="A353" s="13">
        <v>350</v>
      </c>
      <c r="B353" s="13">
        <v>49</v>
      </c>
      <c r="C353" s="13" t="str">
        <f t="shared" si="15"/>
        <v>Adult</v>
      </c>
      <c r="D353" s="13" t="s">
        <v>9</v>
      </c>
      <c r="E353" s="13" t="s">
        <v>10</v>
      </c>
      <c r="F353" s="13" t="s">
        <v>73</v>
      </c>
      <c r="G353" s="13">
        <v>18</v>
      </c>
      <c r="H353" s="13" t="str">
        <f t="shared" si="16"/>
        <v>Experienced</v>
      </c>
      <c r="I353" s="13" t="str">
        <f t="shared" si="17"/>
        <v>150000</v>
      </c>
    </row>
    <row r="354" spans="1:9" x14ac:dyDescent="0.25">
      <c r="A354" s="13">
        <v>351</v>
      </c>
      <c r="B354" s="13">
        <v>49</v>
      </c>
      <c r="C354" s="13" t="str">
        <f t="shared" si="15"/>
        <v>Adult</v>
      </c>
      <c r="D354" s="13" t="s">
        <v>9</v>
      </c>
      <c r="E354" s="13" t="s">
        <v>10</v>
      </c>
      <c r="F354" s="13" t="s">
        <v>97</v>
      </c>
      <c r="G354" s="13">
        <v>19</v>
      </c>
      <c r="H354" s="13" t="str">
        <f t="shared" si="16"/>
        <v>Experienced</v>
      </c>
      <c r="I354" s="13" t="str">
        <f t="shared" si="17"/>
        <v>150000</v>
      </c>
    </row>
    <row r="355" spans="1:9" x14ac:dyDescent="0.25">
      <c r="A355" s="13">
        <v>352</v>
      </c>
      <c r="B355" s="13">
        <v>49</v>
      </c>
      <c r="C355" s="13" t="str">
        <f t="shared" si="15"/>
        <v>Adult</v>
      </c>
      <c r="D355" s="13" t="s">
        <v>9</v>
      </c>
      <c r="E355" s="13" t="s">
        <v>10</v>
      </c>
      <c r="F355" s="13" t="s">
        <v>165</v>
      </c>
      <c r="G355" s="13">
        <v>21</v>
      </c>
      <c r="H355" s="13" t="str">
        <f t="shared" si="16"/>
        <v>Experienced</v>
      </c>
      <c r="I355" s="13" t="str">
        <f t="shared" si="17"/>
        <v>200000</v>
      </c>
    </row>
    <row r="356" spans="1:9" x14ac:dyDescent="0.25">
      <c r="A356" s="13">
        <v>353</v>
      </c>
      <c r="B356" s="13">
        <v>49</v>
      </c>
      <c r="C356" s="13" t="str">
        <f t="shared" si="15"/>
        <v>Adult</v>
      </c>
      <c r="D356" s="13" t="s">
        <v>9</v>
      </c>
      <c r="E356" s="13" t="s">
        <v>10</v>
      </c>
      <c r="F356" s="13" t="s">
        <v>57</v>
      </c>
      <c r="G356" s="13">
        <v>21</v>
      </c>
      <c r="H356" s="13" t="str">
        <f t="shared" si="16"/>
        <v>Experienced</v>
      </c>
      <c r="I356" s="13" t="str">
        <f t="shared" si="17"/>
        <v>200000</v>
      </c>
    </row>
    <row r="357" spans="1:9" x14ac:dyDescent="0.25">
      <c r="A357" s="13">
        <v>354</v>
      </c>
      <c r="B357" s="13">
        <v>49</v>
      </c>
      <c r="C357" s="13" t="str">
        <f t="shared" si="15"/>
        <v>Adult</v>
      </c>
      <c r="D357" s="13" t="s">
        <v>9</v>
      </c>
      <c r="E357" s="13" t="s">
        <v>10</v>
      </c>
      <c r="F357" s="13" t="s">
        <v>66</v>
      </c>
      <c r="G357" s="13">
        <v>21</v>
      </c>
      <c r="H357" s="13" t="str">
        <f t="shared" si="16"/>
        <v>Experienced</v>
      </c>
      <c r="I357" s="13" t="str">
        <f t="shared" si="17"/>
        <v>200000</v>
      </c>
    </row>
    <row r="358" spans="1:9" x14ac:dyDescent="0.25">
      <c r="A358" s="13">
        <v>355</v>
      </c>
      <c r="B358" s="13">
        <v>49</v>
      </c>
      <c r="C358" s="13" t="str">
        <f t="shared" si="15"/>
        <v>Adult</v>
      </c>
      <c r="D358" s="13" t="s">
        <v>6</v>
      </c>
      <c r="E358" s="13" t="s">
        <v>12</v>
      </c>
      <c r="F358" s="13" t="s">
        <v>66</v>
      </c>
      <c r="G358" s="13">
        <v>21</v>
      </c>
      <c r="H358" s="13" t="str">
        <f t="shared" si="16"/>
        <v>Experienced</v>
      </c>
      <c r="I358" s="13" t="str">
        <f t="shared" si="17"/>
        <v>200000</v>
      </c>
    </row>
    <row r="359" spans="1:9" x14ac:dyDescent="0.25">
      <c r="A359" s="13">
        <v>356</v>
      </c>
      <c r="B359" s="13">
        <v>49</v>
      </c>
      <c r="C359" s="13" t="str">
        <f t="shared" si="15"/>
        <v>Adult</v>
      </c>
      <c r="D359" s="13" t="s">
        <v>9</v>
      </c>
      <c r="E359" s="13" t="s">
        <v>10</v>
      </c>
      <c r="F359" s="13" t="s">
        <v>57</v>
      </c>
      <c r="G359" s="13">
        <v>21</v>
      </c>
      <c r="H359" s="13" t="str">
        <f t="shared" si="16"/>
        <v>Experienced</v>
      </c>
      <c r="I359" s="13" t="str">
        <f t="shared" si="17"/>
        <v>200000</v>
      </c>
    </row>
    <row r="360" spans="1:9" x14ac:dyDescent="0.25">
      <c r="A360" s="13">
        <v>357</v>
      </c>
      <c r="B360" s="13">
        <v>50</v>
      </c>
      <c r="C360" s="13" t="str">
        <f t="shared" si="15"/>
        <v>Senior</v>
      </c>
      <c r="D360" s="13" t="s">
        <v>6</v>
      </c>
      <c r="E360" s="13" t="s">
        <v>7</v>
      </c>
      <c r="F360" s="13" t="s">
        <v>41</v>
      </c>
      <c r="G360" s="13">
        <v>25</v>
      </c>
      <c r="H360" s="13" t="str">
        <f t="shared" si="16"/>
        <v>Experienced</v>
      </c>
      <c r="I360" s="13" t="str">
        <f t="shared" si="17"/>
        <v>200000</v>
      </c>
    </row>
    <row r="361" spans="1:9" x14ac:dyDescent="0.25">
      <c r="A361" s="13">
        <v>358</v>
      </c>
      <c r="B361" s="13">
        <v>50</v>
      </c>
      <c r="C361" s="13" t="str">
        <f t="shared" si="15"/>
        <v>Senior</v>
      </c>
      <c r="D361" s="13" t="s">
        <v>9</v>
      </c>
      <c r="E361" s="13" t="s">
        <v>7</v>
      </c>
      <c r="F361" s="13" t="s">
        <v>26</v>
      </c>
      <c r="G361" s="13">
        <v>22</v>
      </c>
      <c r="H361" s="13" t="str">
        <f t="shared" si="16"/>
        <v>Experienced</v>
      </c>
      <c r="I361" s="13" t="str">
        <f t="shared" si="17"/>
        <v>200000</v>
      </c>
    </row>
    <row r="362" spans="1:9" x14ac:dyDescent="0.25">
      <c r="A362" s="13">
        <v>359</v>
      </c>
      <c r="B362" s="13">
        <v>50</v>
      </c>
      <c r="C362" s="13" t="str">
        <f t="shared" si="15"/>
        <v>Senior</v>
      </c>
      <c r="D362" s="13" t="s">
        <v>9</v>
      </c>
      <c r="E362" s="13" t="s">
        <v>7</v>
      </c>
      <c r="F362" s="13" t="s">
        <v>107</v>
      </c>
      <c r="G362" s="13">
        <v>22</v>
      </c>
      <c r="H362" s="13" t="str">
        <f t="shared" si="16"/>
        <v>Experienced</v>
      </c>
      <c r="I362" s="13" t="str">
        <f t="shared" si="17"/>
        <v>200000</v>
      </c>
    </row>
    <row r="363" spans="1:9" x14ac:dyDescent="0.25">
      <c r="A363" s="13">
        <v>360</v>
      </c>
      <c r="B363" s="13">
        <v>50</v>
      </c>
      <c r="C363" s="13" t="str">
        <f t="shared" si="15"/>
        <v>Senior</v>
      </c>
      <c r="D363" s="13" t="s">
        <v>9</v>
      </c>
      <c r="E363" s="13" t="s">
        <v>10</v>
      </c>
      <c r="F363" s="13" t="s">
        <v>66</v>
      </c>
      <c r="G363" s="13">
        <v>21</v>
      </c>
      <c r="H363" s="13" t="str">
        <f t="shared" si="16"/>
        <v>Experienced</v>
      </c>
      <c r="I363" s="13" t="str">
        <f t="shared" si="17"/>
        <v>200000</v>
      </c>
    </row>
    <row r="364" spans="1:9" x14ac:dyDescent="0.25">
      <c r="A364" s="13">
        <v>361</v>
      </c>
      <c r="B364" s="13">
        <v>50</v>
      </c>
      <c r="C364" s="13" t="str">
        <f t="shared" si="15"/>
        <v>Senior</v>
      </c>
      <c r="D364" s="13" t="s">
        <v>9</v>
      </c>
      <c r="E364" s="13" t="s">
        <v>10</v>
      </c>
      <c r="F364" s="13" t="s">
        <v>149</v>
      </c>
      <c r="G364" s="13">
        <v>20</v>
      </c>
      <c r="H364" s="13" t="str">
        <f t="shared" si="16"/>
        <v>Experienced</v>
      </c>
      <c r="I364" s="13" t="str">
        <f t="shared" si="17"/>
        <v>150000</v>
      </c>
    </row>
    <row r="365" spans="1:9" x14ac:dyDescent="0.25">
      <c r="A365" s="13">
        <v>362</v>
      </c>
      <c r="B365" s="13">
        <v>50</v>
      </c>
      <c r="C365" s="13" t="str">
        <f t="shared" si="15"/>
        <v>Senior</v>
      </c>
      <c r="D365" s="13" t="s">
        <v>9</v>
      </c>
      <c r="E365" s="13" t="s">
        <v>12</v>
      </c>
      <c r="F365" s="13" t="s">
        <v>159</v>
      </c>
      <c r="G365" s="13">
        <v>22</v>
      </c>
      <c r="H365" s="13" t="str">
        <f t="shared" si="16"/>
        <v>Experienced</v>
      </c>
      <c r="I365" s="13" t="str">
        <f t="shared" si="17"/>
        <v>200000</v>
      </c>
    </row>
    <row r="366" spans="1:9" x14ac:dyDescent="0.25">
      <c r="A366" s="13">
        <v>363</v>
      </c>
      <c r="B366" s="13">
        <v>50</v>
      </c>
      <c r="C366" s="13" t="str">
        <f t="shared" si="15"/>
        <v>Senior</v>
      </c>
      <c r="D366" s="13" t="s">
        <v>9</v>
      </c>
      <c r="E366" s="13" t="s">
        <v>12</v>
      </c>
      <c r="F366" s="13" t="s">
        <v>66</v>
      </c>
      <c r="G366" s="13">
        <v>22</v>
      </c>
      <c r="H366" s="13" t="str">
        <f t="shared" si="16"/>
        <v>Experienced</v>
      </c>
      <c r="I366" s="13" t="str">
        <f t="shared" si="17"/>
        <v>200000</v>
      </c>
    </row>
    <row r="367" spans="1:9" x14ac:dyDescent="0.25">
      <c r="A367" s="13">
        <v>364</v>
      </c>
      <c r="B367" s="13">
        <v>50</v>
      </c>
      <c r="C367" s="13" t="str">
        <f t="shared" si="15"/>
        <v>Senior</v>
      </c>
      <c r="D367" s="13" t="s">
        <v>9</v>
      </c>
      <c r="E367" s="13" t="s">
        <v>12</v>
      </c>
      <c r="F367" s="13" t="s">
        <v>66</v>
      </c>
      <c r="G367" s="13">
        <v>22</v>
      </c>
      <c r="H367" s="13" t="str">
        <f t="shared" si="16"/>
        <v>Experienced</v>
      </c>
      <c r="I367" s="13" t="str">
        <f t="shared" si="17"/>
        <v>200000</v>
      </c>
    </row>
    <row r="368" spans="1:9" x14ac:dyDescent="0.25">
      <c r="A368" s="13">
        <v>365</v>
      </c>
      <c r="B368" s="13">
        <v>51</v>
      </c>
      <c r="C368" s="13" t="str">
        <f t="shared" si="15"/>
        <v>Senior</v>
      </c>
      <c r="D368" s="13" t="s">
        <v>6</v>
      </c>
      <c r="E368" s="13" t="s">
        <v>7</v>
      </c>
      <c r="F368" s="13" t="s">
        <v>30</v>
      </c>
      <c r="G368" s="13">
        <v>22</v>
      </c>
      <c r="H368" s="13" t="str">
        <f t="shared" si="16"/>
        <v>Experienced</v>
      </c>
      <c r="I368" s="13" t="str">
        <f t="shared" si="17"/>
        <v>200000</v>
      </c>
    </row>
    <row r="369" spans="1:9" x14ac:dyDescent="0.25">
      <c r="A369" s="13">
        <v>366</v>
      </c>
      <c r="B369" s="13">
        <v>51</v>
      </c>
      <c r="C369" s="13" t="str">
        <f t="shared" si="15"/>
        <v>Senior</v>
      </c>
      <c r="D369" s="13" t="s">
        <v>9</v>
      </c>
      <c r="E369" s="13" t="s">
        <v>7</v>
      </c>
      <c r="F369" s="13" t="s">
        <v>59</v>
      </c>
      <c r="G369" s="13">
        <v>22</v>
      </c>
      <c r="H369" s="13" t="str">
        <f t="shared" si="16"/>
        <v>Experienced</v>
      </c>
      <c r="I369" s="13" t="str">
        <f t="shared" si="17"/>
        <v>200000</v>
      </c>
    </row>
    <row r="370" spans="1:9" x14ac:dyDescent="0.25">
      <c r="A370" s="13">
        <v>367</v>
      </c>
      <c r="B370" s="13">
        <v>51</v>
      </c>
      <c r="C370" s="13" t="str">
        <f t="shared" si="15"/>
        <v>Senior</v>
      </c>
      <c r="D370" s="13" t="s">
        <v>9</v>
      </c>
      <c r="E370" s="13" t="s">
        <v>10</v>
      </c>
      <c r="F370" s="13" t="s">
        <v>66</v>
      </c>
      <c r="G370" s="13">
        <v>23</v>
      </c>
      <c r="H370" s="13" t="str">
        <f t="shared" si="16"/>
        <v>Experienced</v>
      </c>
      <c r="I370" s="13" t="str">
        <f t="shared" si="17"/>
        <v>200000</v>
      </c>
    </row>
    <row r="371" spans="1:9" x14ac:dyDescent="0.25">
      <c r="A371" s="13">
        <v>368</v>
      </c>
      <c r="B371" s="13">
        <v>51</v>
      </c>
      <c r="C371" s="13" t="str">
        <f t="shared" si="15"/>
        <v>Senior</v>
      </c>
      <c r="D371" s="13" t="s">
        <v>9</v>
      </c>
      <c r="E371" s="13" t="s">
        <v>12</v>
      </c>
      <c r="F371" s="13" t="s">
        <v>138</v>
      </c>
      <c r="G371" s="13">
        <v>23</v>
      </c>
      <c r="H371" s="13" t="str">
        <f t="shared" si="16"/>
        <v>Experienced</v>
      </c>
      <c r="I371" s="13" t="str">
        <f t="shared" si="17"/>
        <v>200000</v>
      </c>
    </row>
    <row r="372" spans="1:9" x14ac:dyDescent="0.25">
      <c r="A372" s="13">
        <v>369</v>
      </c>
      <c r="B372" s="13">
        <v>51</v>
      </c>
      <c r="C372" s="13" t="str">
        <f t="shared" si="15"/>
        <v>Senior</v>
      </c>
      <c r="D372" s="13" t="s">
        <v>9</v>
      </c>
      <c r="E372" s="13" t="s">
        <v>10</v>
      </c>
      <c r="F372" s="13" t="s">
        <v>138</v>
      </c>
      <c r="G372" s="13">
        <v>21</v>
      </c>
      <c r="H372" s="13" t="str">
        <f t="shared" si="16"/>
        <v>Experienced</v>
      </c>
      <c r="I372" s="13" t="str">
        <f t="shared" si="17"/>
        <v>200000</v>
      </c>
    </row>
    <row r="373" spans="1:9" x14ac:dyDescent="0.25">
      <c r="A373" s="13">
        <v>370</v>
      </c>
      <c r="B373" s="13">
        <v>52</v>
      </c>
      <c r="C373" s="13" t="str">
        <f t="shared" si="15"/>
        <v>Senior</v>
      </c>
      <c r="D373" s="13" t="s">
        <v>6</v>
      </c>
      <c r="E373" s="13" t="s">
        <v>10</v>
      </c>
      <c r="F373" s="13" t="s">
        <v>15</v>
      </c>
      <c r="G373" s="13">
        <v>20</v>
      </c>
      <c r="H373" s="13" t="str">
        <f t="shared" si="16"/>
        <v>Experienced</v>
      </c>
      <c r="I373" s="13" t="str">
        <f t="shared" si="17"/>
        <v>150000</v>
      </c>
    </row>
    <row r="374" spans="1:9" x14ac:dyDescent="0.25">
      <c r="A374" s="13">
        <v>371</v>
      </c>
      <c r="B374" s="13">
        <v>52</v>
      </c>
      <c r="C374" s="13" t="str">
        <f t="shared" si="15"/>
        <v>Senior</v>
      </c>
      <c r="D374" s="13" t="s">
        <v>6</v>
      </c>
      <c r="E374" s="13" t="s">
        <v>12</v>
      </c>
      <c r="F374" s="13" t="s">
        <v>83</v>
      </c>
      <c r="G374" s="13">
        <v>24</v>
      </c>
      <c r="H374" s="13" t="str">
        <f t="shared" si="16"/>
        <v>Experienced</v>
      </c>
      <c r="I374" s="13" t="str">
        <f t="shared" si="17"/>
        <v>200000</v>
      </c>
    </row>
    <row r="375" spans="1:9" x14ac:dyDescent="0.25">
      <c r="A375" s="13">
        <v>372</v>
      </c>
      <c r="B375" s="13">
        <v>52</v>
      </c>
      <c r="C375" s="13" t="str">
        <f t="shared" si="15"/>
        <v>Senior</v>
      </c>
      <c r="D375" s="13" t="s">
        <v>9</v>
      </c>
      <c r="E375" s="13" t="s">
        <v>10</v>
      </c>
      <c r="F375" s="13" t="s">
        <v>90</v>
      </c>
      <c r="G375" s="13">
        <v>25</v>
      </c>
      <c r="H375" s="13" t="str">
        <f t="shared" si="16"/>
        <v>Experienced</v>
      </c>
      <c r="I375" s="13" t="str">
        <f t="shared" si="17"/>
        <v>200000</v>
      </c>
    </row>
    <row r="376" spans="1:9" x14ac:dyDescent="0.25">
      <c r="A376" s="13">
        <v>373</v>
      </c>
      <c r="B376" s="13">
        <v>53</v>
      </c>
      <c r="C376" s="13" t="str">
        <f t="shared" si="15"/>
        <v>Senior</v>
      </c>
      <c r="D376" s="13" t="s">
        <v>6</v>
      </c>
      <c r="E376" s="13" t="s">
        <v>10</v>
      </c>
      <c r="F376" s="13" t="s">
        <v>57</v>
      </c>
      <c r="G376" s="13">
        <v>25</v>
      </c>
      <c r="H376" s="13" t="str">
        <f t="shared" si="16"/>
        <v>Experienced</v>
      </c>
      <c r="I376" s="13" t="str">
        <f t="shared" si="17"/>
        <v>200000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C6"/>
  <sheetViews>
    <sheetView workbookViewId="0">
      <selection activeCell="Y15" sqref="Y15"/>
    </sheetView>
  </sheetViews>
  <sheetFormatPr defaultRowHeight="15" x14ac:dyDescent="0.25"/>
  <cols>
    <col min="1" max="1" width="27" bestFit="1" customWidth="1"/>
    <col min="2" max="2" width="16.28515625" bestFit="1" customWidth="1"/>
    <col min="3" max="3" width="5.5703125" customWidth="1"/>
    <col min="4" max="4" width="11.28515625" bestFit="1" customWidth="1"/>
    <col min="5" max="5" width="9.5703125" bestFit="1" customWidth="1"/>
    <col min="6" max="6" width="5.5703125" bestFit="1" customWidth="1"/>
    <col min="7" max="7" width="12.5703125" bestFit="1" customWidth="1"/>
    <col min="8" max="8" width="11.28515625" bestFit="1" customWidth="1"/>
    <col min="9" max="13" width="2" bestFit="1" customWidth="1"/>
    <col min="14" max="29" width="3" bestFit="1" customWidth="1"/>
    <col min="30" max="30" width="11.28515625" bestFit="1" customWidth="1"/>
  </cols>
  <sheetData>
    <row r="3" spans="1:3" x14ac:dyDescent="0.25">
      <c r="A3" s="2" t="s">
        <v>192</v>
      </c>
      <c r="B3" s="2" t="s">
        <v>191</v>
      </c>
    </row>
    <row r="4" spans="1:3" x14ac:dyDescent="0.25">
      <c r="A4" s="2" t="s">
        <v>187</v>
      </c>
      <c r="B4" t="s">
        <v>9</v>
      </c>
      <c r="C4" t="s">
        <v>6</v>
      </c>
    </row>
    <row r="5" spans="1:3" x14ac:dyDescent="0.25">
      <c r="A5" s="3" t="s">
        <v>188</v>
      </c>
      <c r="B5">
        <v>138</v>
      </c>
      <c r="C5">
        <v>151</v>
      </c>
    </row>
    <row r="6" spans="1:3" x14ac:dyDescent="0.25">
      <c r="A6" s="3" t="s">
        <v>189</v>
      </c>
      <c r="B6">
        <v>41</v>
      </c>
      <c r="C6">
        <v>43</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3:C9"/>
  <sheetViews>
    <sheetView workbookViewId="0">
      <selection activeCell="P13" sqref="P13"/>
    </sheetView>
  </sheetViews>
  <sheetFormatPr defaultRowHeight="15" x14ac:dyDescent="0.25"/>
  <cols>
    <col min="1" max="1" width="15.85546875" bestFit="1" customWidth="1"/>
    <col min="2" max="2" width="12" bestFit="1" customWidth="1"/>
    <col min="3" max="3" width="14.42578125" bestFit="1" customWidth="1"/>
    <col min="4" max="4" width="11.28515625" bestFit="1" customWidth="1"/>
  </cols>
  <sheetData>
    <row r="3" spans="1:3" x14ac:dyDescent="0.25">
      <c r="A3" s="2" t="s">
        <v>1</v>
      </c>
      <c r="B3" s="2" t="s">
        <v>186</v>
      </c>
      <c r="C3" t="s">
        <v>194</v>
      </c>
    </row>
    <row r="4" spans="1:3" x14ac:dyDescent="0.25">
      <c r="A4" t="s">
        <v>9</v>
      </c>
      <c r="B4" t="s">
        <v>188</v>
      </c>
      <c r="C4" s="4">
        <v>0.36997319034852549</v>
      </c>
    </row>
    <row r="5" spans="1:3" x14ac:dyDescent="0.25">
      <c r="B5" t="s">
        <v>189</v>
      </c>
      <c r="C5" s="4">
        <v>0.10991957104557641</v>
      </c>
    </row>
    <row r="6" spans="1:3" x14ac:dyDescent="0.25">
      <c r="A6" t="s">
        <v>195</v>
      </c>
      <c r="C6" s="4">
        <v>0.47989276139410186</v>
      </c>
    </row>
    <row r="7" spans="1:3" x14ac:dyDescent="0.25">
      <c r="A7" t="s">
        <v>6</v>
      </c>
      <c r="B7" t="s">
        <v>188</v>
      </c>
      <c r="C7" s="4">
        <v>0.40482573726541554</v>
      </c>
    </row>
    <row r="8" spans="1:3" x14ac:dyDescent="0.25">
      <c r="B8" t="s">
        <v>189</v>
      </c>
      <c r="C8" s="4">
        <v>0.11528150134048257</v>
      </c>
    </row>
    <row r="9" spans="1:3" x14ac:dyDescent="0.25">
      <c r="A9" t="s">
        <v>196</v>
      </c>
      <c r="C9" s="4">
        <v>0.52010723860589814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3:C7"/>
  <sheetViews>
    <sheetView workbookViewId="0">
      <selection activeCell="C4" sqref="C4:C7"/>
      <pivotSelection pane="bottomRight" showHeader="1" extendable="1" axis="axisCol" start="1" max="2" activeRow="3" activeCol="2" previousRow="3" previousCol="2" click="1" r:id="rId1">
        <pivotArea dataOnly="0" outline="0" fieldPosition="0">
          <references count="1">
            <reference field="6" count="1">
              <x v="1"/>
            </reference>
          </references>
        </pivotArea>
      </pivotSelection>
    </sheetView>
  </sheetViews>
  <sheetFormatPr defaultRowHeight="15" x14ac:dyDescent="0.25"/>
  <cols>
    <col min="1" max="1" width="14.42578125" bestFit="1" customWidth="1"/>
    <col min="2" max="2" width="16.28515625" bestFit="1" customWidth="1"/>
    <col min="3" max="3" width="7.7109375" bestFit="1" customWidth="1"/>
    <col min="4" max="4" width="15.140625" bestFit="1" customWidth="1"/>
    <col min="5" max="5" width="12" bestFit="1" customWidth="1"/>
    <col min="6" max="6" width="7.7109375" bestFit="1" customWidth="1"/>
    <col min="7" max="7" width="13.7109375" bestFit="1" customWidth="1"/>
    <col min="8" max="8" width="12" bestFit="1" customWidth="1"/>
    <col min="9" max="9" width="9.42578125" bestFit="1" customWidth="1"/>
    <col min="10" max="10" width="11.140625" bestFit="1" customWidth="1"/>
    <col min="11" max="11" width="14.28515625" bestFit="1" customWidth="1"/>
  </cols>
  <sheetData>
    <row r="3" spans="1:3" x14ac:dyDescent="0.25">
      <c r="A3" s="2" t="s">
        <v>194</v>
      </c>
      <c r="B3" s="2" t="s">
        <v>191</v>
      </c>
    </row>
    <row r="4" spans="1:3" x14ac:dyDescent="0.25">
      <c r="A4" s="2" t="s">
        <v>187</v>
      </c>
      <c r="B4" t="s">
        <v>188</v>
      </c>
      <c r="C4" t="s">
        <v>189</v>
      </c>
    </row>
    <row r="5" spans="1:3" x14ac:dyDescent="0.25">
      <c r="A5" s="3" t="s">
        <v>197</v>
      </c>
      <c r="B5">
        <v>272</v>
      </c>
      <c r="C5">
        <v>82</v>
      </c>
    </row>
    <row r="6" spans="1:3" x14ac:dyDescent="0.25">
      <c r="A6" s="3" t="s">
        <v>198</v>
      </c>
      <c r="B6">
        <v>17</v>
      </c>
    </row>
    <row r="7" spans="1:3" x14ac:dyDescent="0.25">
      <c r="A7" s="3" t="s">
        <v>199</v>
      </c>
      <c r="C7">
        <v>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3:B7"/>
  <sheetViews>
    <sheetView workbookViewId="0">
      <selection activeCell="N8" sqref="N8"/>
    </sheetView>
  </sheetViews>
  <sheetFormatPr defaultRowHeight="15" x14ac:dyDescent="0.25"/>
  <cols>
    <col min="1" max="1" width="13.140625" bestFit="1" customWidth="1"/>
    <col min="2" max="3" width="14.42578125" bestFit="1" customWidth="1"/>
    <col min="4" max="4" width="4.5703125" bestFit="1" customWidth="1"/>
    <col min="5" max="5" width="11.28515625" bestFit="1" customWidth="1"/>
  </cols>
  <sheetData>
    <row r="3" spans="1:2" x14ac:dyDescent="0.25">
      <c r="A3" s="2" t="s">
        <v>187</v>
      </c>
      <c r="B3" t="s">
        <v>194</v>
      </c>
    </row>
    <row r="4" spans="1:2" x14ac:dyDescent="0.25">
      <c r="A4" s="3" t="s">
        <v>7</v>
      </c>
      <c r="B4" s="4">
        <v>0.60053619302949057</v>
      </c>
    </row>
    <row r="5" spans="1:2" x14ac:dyDescent="0.25">
      <c r="A5" s="3" t="s">
        <v>10</v>
      </c>
      <c r="B5" s="4">
        <v>0.26273458445040215</v>
      </c>
    </row>
    <row r="6" spans="1:2" x14ac:dyDescent="0.25">
      <c r="A6" s="3" t="s">
        <v>12</v>
      </c>
      <c r="B6" s="4">
        <v>0.13672922252010725</v>
      </c>
    </row>
    <row r="7" spans="1:2" x14ac:dyDescent="0.25">
      <c r="A7" s="3" t="s">
        <v>190</v>
      </c>
      <c r="B7" s="4">
        <v>1</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3:B50"/>
  <sheetViews>
    <sheetView workbookViewId="0">
      <selection activeCell="B6" sqref="B6"/>
    </sheetView>
  </sheetViews>
  <sheetFormatPr defaultRowHeight="15" x14ac:dyDescent="0.25"/>
  <cols>
    <col min="1" max="1" width="31.7109375" bestFit="1" customWidth="1"/>
    <col min="2" max="2" width="14.42578125" bestFit="1" customWidth="1"/>
    <col min="3" max="3" width="11" bestFit="1" customWidth="1"/>
    <col min="4" max="4" width="23" bestFit="1" customWidth="1"/>
    <col min="5" max="5" width="15.85546875" bestFit="1" customWidth="1"/>
    <col min="6" max="6" width="30.28515625" bestFit="1" customWidth="1"/>
    <col min="7" max="7" width="27.28515625" bestFit="1" customWidth="1"/>
    <col min="8" max="8" width="6.140625" bestFit="1" customWidth="1"/>
    <col min="9" max="9" width="16.85546875" bestFit="1" customWidth="1"/>
    <col min="10" max="10" width="23.28515625" bestFit="1" customWidth="1"/>
    <col min="11" max="11" width="26.5703125" bestFit="1" customWidth="1"/>
    <col min="12" max="12" width="10.85546875" bestFit="1" customWidth="1"/>
    <col min="13" max="13" width="16.140625" bestFit="1" customWidth="1"/>
    <col min="14" max="14" width="25.140625" bestFit="1" customWidth="1"/>
    <col min="15" max="15" width="20.5703125" bestFit="1" customWidth="1"/>
    <col min="16" max="16" width="31.140625" bestFit="1" customWidth="1"/>
    <col min="17" max="17" width="25.5703125" bestFit="1" customWidth="1"/>
    <col min="18" max="18" width="20.85546875" bestFit="1" customWidth="1"/>
    <col min="19" max="19" width="12" bestFit="1" customWidth="1"/>
    <col min="20" max="20" width="15.140625" bestFit="1" customWidth="1"/>
    <col min="21" max="21" width="13.140625" bestFit="1" customWidth="1"/>
    <col min="22" max="22" width="23.140625" bestFit="1" customWidth="1"/>
    <col min="23" max="23" width="25" bestFit="1" customWidth="1"/>
    <col min="24" max="24" width="8.140625" bestFit="1" customWidth="1"/>
    <col min="25" max="25" width="31.85546875" bestFit="1" customWidth="1"/>
    <col min="26" max="26" width="21.85546875" bestFit="1" customWidth="1"/>
    <col min="27" max="27" width="18" bestFit="1" customWidth="1"/>
    <col min="28" max="28" width="13.42578125" bestFit="1" customWidth="1"/>
    <col min="29" max="29" width="24.140625" bestFit="1" customWidth="1"/>
    <col min="30" max="30" width="27.140625" bestFit="1" customWidth="1"/>
    <col min="31" max="31" width="20.28515625" bestFit="1" customWidth="1"/>
    <col min="32" max="32" width="21" bestFit="1" customWidth="1"/>
    <col min="33" max="33" width="30.7109375" bestFit="1" customWidth="1"/>
    <col min="34" max="34" width="15.5703125" bestFit="1" customWidth="1"/>
    <col min="35" max="35" width="29.28515625" bestFit="1" customWidth="1"/>
    <col min="36" max="36" width="17.28515625" bestFit="1" customWidth="1"/>
    <col min="37" max="37" width="16.140625" bestFit="1" customWidth="1"/>
    <col min="38" max="38" width="16" bestFit="1" customWidth="1"/>
    <col min="39" max="39" width="17.42578125" bestFit="1" customWidth="1"/>
    <col min="40" max="40" width="16.28515625" bestFit="1" customWidth="1"/>
    <col min="41" max="41" width="17" bestFit="1" customWidth="1"/>
    <col min="42" max="42" width="13.28515625" bestFit="1" customWidth="1"/>
    <col min="43" max="43" width="11.7109375" bestFit="1" customWidth="1"/>
    <col min="44" max="44" width="24.7109375" bestFit="1" customWidth="1"/>
    <col min="45" max="45" width="10.85546875" bestFit="1" customWidth="1"/>
    <col min="46" max="46" width="10" bestFit="1" customWidth="1"/>
    <col min="47" max="47" width="19.140625" bestFit="1" customWidth="1"/>
    <col min="48" max="48" width="22.7109375" bestFit="1" customWidth="1"/>
    <col min="49" max="49" width="17" bestFit="1" customWidth="1"/>
    <col min="50" max="50" width="28.5703125" bestFit="1" customWidth="1"/>
    <col min="51" max="51" width="22" bestFit="1" customWidth="1"/>
    <col min="52" max="52" width="36.85546875" bestFit="1" customWidth="1"/>
    <col min="53" max="53" width="32.5703125" bestFit="1" customWidth="1"/>
    <col min="54" max="54" width="16.85546875" bestFit="1" customWidth="1"/>
    <col min="55" max="55" width="32.42578125" bestFit="1" customWidth="1"/>
    <col min="56" max="56" width="18.140625" bestFit="1" customWidth="1"/>
    <col min="57" max="57" width="19.140625" bestFit="1" customWidth="1"/>
    <col min="58" max="58" width="14.85546875" bestFit="1" customWidth="1"/>
    <col min="59" max="59" width="16.28515625" bestFit="1" customWidth="1"/>
    <col min="60" max="60" width="22.28515625" bestFit="1" customWidth="1"/>
    <col min="61" max="61" width="22.140625" bestFit="1" customWidth="1"/>
    <col min="62" max="62" width="20.5703125" bestFit="1" customWidth="1"/>
    <col min="63" max="63" width="19.28515625" bestFit="1" customWidth="1"/>
    <col min="64" max="64" width="23.42578125" bestFit="1" customWidth="1"/>
    <col min="65" max="65" width="27.5703125" bestFit="1" customWidth="1"/>
    <col min="66" max="66" width="24.7109375" bestFit="1" customWidth="1"/>
    <col min="67" max="67" width="25.28515625" bestFit="1" customWidth="1"/>
    <col min="68" max="68" width="24.140625" bestFit="1" customWidth="1"/>
    <col min="69" max="69" width="28.28515625" bestFit="1" customWidth="1"/>
    <col min="70" max="70" width="25.5703125" bestFit="1" customWidth="1"/>
    <col min="71" max="71" width="22.42578125" bestFit="1" customWidth="1"/>
    <col min="72" max="72" width="21.85546875" bestFit="1" customWidth="1"/>
    <col min="73" max="73" width="15.140625" bestFit="1" customWidth="1"/>
    <col min="74" max="74" width="23.28515625" bestFit="1" customWidth="1"/>
    <col min="75" max="75" width="26" bestFit="1" customWidth="1"/>
    <col min="76" max="76" width="27" bestFit="1" customWidth="1"/>
    <col min="77" max="77" width="27.5703125" bestFit="1" customWidth="1"/>
    <col min="78" max="78" width="25" bestFit="1" customWidth="1"/>
    <col min="79" max="79" width="23.5703125" bestFit="1" customWidth="1"/>
    <col min="80" max="80" width="18" bestFit="1" customWidth="1"/>
    <col min="81" max="81" width="19.7109375" bestFit="1" customWidth="1"/>
    <col min="82" max="82" width="21.140625" bestFit="1" customWidth="1"/>
    <col min="83" max="83" width="17.42578125" bestFit="1" customWidth="1"/>
    <col min="84" max="84" width="21.5703125" bestFit="1" customWidth="1"/>
    <col min="85" max="85" width="18.7109375" bestFit="1" customWidth="1"/>
    <col min="86" max="86" width="19.28515625" bestFit="1" customWidth="1"/>
    <col min="87" max="87" width="17.28515625" bestFit="1" customWidth="1"/>
    <col min="88" max="88" width="14.85546875" bestFit="1" customWidth="1"/>
    <col min="89" max="89" width="18.140625" bestFit="1" customWidth="1"/>
    <col min="90" max="90" width="18.7109375" bestFit="1" customWidth="1"/>
    <col min="91" max="91" width="19.42578125" bestFit="1" customWidth="1"/>
    <col min="92" max="92" width="17.28515625" bestFit="1" customWidth="1"/>
    <col min="93" max="93" width="16.85546875" bestFit="1" customWidth="1"/>
    <col min="94" max="95" width="16.28515625" bestFit="1" customWidth="1"/>
    <col min="96" max="96" width="26.28515625" bestFit="1" customWidth="1"/>
    <col min="97" max="98" width="15.7109375" bestFit="1" customWidth="1"/>
    <col min="99" max="99" width="23.85546875" bestFit="1" customWidth="1"/>
    <col min="101" max="101" width="16.7109375" bestFit="1" customWidth="1"/>
    <col min="102" max="102" width="17.28515625" bestFit="1" customWidth="1"/>
    <col min="103" max="103" width="14.5703125" bestFit="1" customWidth="1"/>
    <col min="104" max="104" width="13.28515625" bestFit="1" customWidth="1"/>
    <col min="105" max="105" width="14.7109375" bestFit="1" customWidth="1"/>
    <col min="106" max="106" width="14" bestFit="1" customWidth="1"/>
    <col min="107" max="107" width="24.5703125" bestFit="1" customWidth="1"/>
    <col min="108" max="108" width="19.85546875" bestFit="1" customWidth="1"/>
    <col min="109" max="109" width="23.7109375" bestFit="1" customWidth="1"/>
    <col min="110" max="110" width="23" bestFit="1" customWidth="1"/>
    <col min="111" max="111" width="17.42578125" bestFit="1" customWidth="1"/>
    <col min="112" max="112" width="22.28515625" bestFit="1" customWidth="1"/>
    <col min="113" max="113" width="36.5703125" bestFit="1" customWidth="1"/>
    <col min="114" max="114" width="16.85546875" bestFit="1" customWidth="1"/>
    <col min="115" max="115" width="18.42578125" bestFit="1" customWidth="1"/>
    <col min="116" max="116" width="19.7109375" bestFit="1" customWidth="1"/>
    <col min="117" max="117" width="19.42578125" bestFit="1" customWidth="1"/>
    <col min="118" max="118" width="15.140625" bestFit="1" customWidth="1"/>
    <col min="119" max="119" width="22.5703125" bestFit="1" customWidth="1"/>
    <col min="120" max="120" width="22.42578125" bestFit="1" customWidth="1"/>
    <col min="121" max="121" width="23.7109375" bestFit="1" customWidth="1"/>
    <col min="122" max="122" width="22.7109375" bestFit="1" customWidth="1"/>
    <col min="123" max="123" width="19.5703125" bestFit="1" customWidth="1"/>
    <col min="124" max="124" width="18.140625" bestFit="1" customWidth="1"/>
    <col min="125" max="125" width="18.7109375" bestFit="1" customWidth="1"/>
    <col min="126" max="126" width="34.7109375" bestFit="1" customWidth="1"/>
    <col min="127" max="127" width="31.85546875" bestFit="1" customWidth="1"/>
    <col min="128" max="128" width="32.42578125" bestFit="1" customWidth="1"/>
    <col min="129" max="129" width="19" bestFit="1" customWidth="1"/>
    <col min="130" max="130" width="24.140625" bestFit="1" customWidth="1"/>
    <col min="131" max="131" width="25.5703125" bestFit="1" customWidth="1"/>
    <col min="132" max="132" width="15.140625" bestFit="1" customWidth="1"/>
    <col min="133" max="133" width="23.7109375" bestFit="1" customWidth="1"/>
    <col min="134" max="134" width="27.85546875" bestFit="1" customWidth="1"/>
    <col min="135" max="135" width="24.28515625" bestFit="1" customWidth="1"/>
    <col min="136" max="136" width="25" bestFit="1" customWidth="1"/>
    <col min="137" max="137" width="25.7109375" bestFit="1" customWidth="1"/>
    <col min="138" max="138" width="24.42578125" bestFit="1" customWidth="1"/>
    <col min="139" max="139" width="28.5703125" bestFit="1" customWidth="1"/>
    <col min="140" max="140" width="25.85546875" bestFit="1" customWidth="1"/>
    <col min="141" max="141" width="22.7109375" bestFit="1" customWidth="1"/>
    <col min="142" max="142" width="35.7109375" bestFit="1" customWidth="1"/>
    <col min="143" max="143" width="22.7109375" bestFit="1" customWidth="1"/>
    <col min="144" max="144" width="32.5703125" bestFit="1" customWidth="1"/>
    <col min="145" max="145" width="24.85546875" bestFit="1" customWidth="1"/>
    <col min="146" max="146" width="22.140625" bestFit="1" customWidth="1"/>
    <col min="147" max="147" width="30.7109375" bestFit="1" customWidth="1"/>
    <col min="148" max="148" width="23.5703125" bestFit="1" customWidth="1"/>
    <col min="149" max="149" width="17.28515625" bestFit="1" customWidth="1"/>
    <col min="150" max="150" width="20.28515625" bestFit="1" customWidth="1"/>
    <col min="151" max="151" width="26.28515625" bestFit="1" customWidth="1"/>
    <col min="152" max="152" width="14.85546875" bestFit="1" customWidth="1"/>
    <col min="153" max="153" width="24" bestFit="1" customWidth="1"/>
    <col min="154" max="154" width="25.28515625" bestFit="1" customWidth="1"/>
    <col min="155" max="155" width="23.85546875" bestFit="1" customWidth="1"/>
    <col min="156" max="156" width="23.5703125" bestFit="1" customWidth="1"/>
    <col min="157" max="157" width="18.28515625" bestFit="1" customWidth="1"/>
    <col min="158" max="158" width="20.85546875" bestFit="1" customWidth="1"/>
    <col min="159" max="159" width="21.5703125" bestFit="1" customWidth="1"/>
    <col min="160" max="160" width="19" bestFit="1" customWidth="1"/>
    <col min="161" max="162" width="17.5703125" bestFit="1" customWidth="1"/>
    <col min="163" max="163" width="24.42578125" bestFit="1" customWidth="1"/>
    <col min="164" max="164" width="18.5703125" bestFit="1" customWidth="1"/>
    <col min="165" max="165" width="19.7109375" bestFit="1" customWidth="1"/>
    <col min="166" max="166" width="21" bestFit="1" customWidth="1"/>
    <col min="167" max="167" width="18.140625" bestFit="1" customWidth="1"/>
    <col min="168" max="168" width="26.140625" bestFit="1" customWidth="1"/>
    <col min="169" max="169" width="15.7109375" bestFit="1" customWidth="1"/>
    <col min="170" max="170" width="17.28515625" bestFit="1" customWidth="1"/>
    <col min="171" max="171" width="11.85546875" bestFit="1" customWidth="1"/>
    <col min="172" max="172" width="14" bestFit="1" customWidth="1"/>
    <col min="173" max="173" width="13.140625" bestFit="1" customWidth="1"/>
    <col min="174" max="174" width="16.140625" bestFit="1" customWidth="1"/>
    <col min="175" max="175" width="15.140625" bestFit="1" customWidth="1"/>
  </cols>
  <sheetData>
    <row r="3" spans="1:2" x14ac:dyDescent="0.25">
      <c r="A3" s="2" t="s">
        <v>187</v>
      </c>
      <c r="B3" t="s">
        <v>194</v>
      </c>
    </row>
    <row r="4" spans="1:2" x14ac:dyDescent="0.25">
      <c r="A4" s="3" t="s">
        <v>56</v>
      </c>
      <c r="B4" s="4">
        <v>1.020408163265306E-2</v>
      </c>
    </row>
    <row r="5" spans="1:2" x14ac:dyDescent="0.25">
      <c r="A5" s="3" t="s">
        <v>42</v>
      </c>
      <c r="B5" s="4">
        <v>1.020408163265306E-2</v>
      </c>
    </row>
    <row r="6" spans="1:2" x14ac:dyDescent="0.25">
      <c r="A6" s="3" t="s">
        <v>31</v>
      </c>
      <c r="B6" s="4">
        <v>2.0408163265306121E-2</v>
      </c>
    </row>
    <row r="7" spans="1:2" x14ac:dyDescent="0.25">
      <c r="A7" s="3" t="s">
        <v>41</v>
      </c>
      <c r="B7" s="4">
        <v>1.020408163265306E-2</v>
      </c>
    </row>
    <row r="8" spans="1:2" x14ac:dyDescent="0.25">
      <c r="A8" s="3" t="s">
        <v>77</v>
      </c>
      <c r="B8" s="4">
        <v>1.020408163265306E-2</v>
      </c>
    </row>
    <row r="9" spans="1:2" x14ac:dyDescent="0.25">
      <c r="A9" s="3" t="s">
        <v>59</v>
      </c>
      <c r="B9" s="4">
        <v>2.0408163265306121E-2</v>
      </c>
    </row>
    <row r="10" spans="1:2" x14ac:dyDescent="0.25">
      <c r="A10" s="3" t="s">
        <v>11</v>
      </c>
      <c r="B10" s="4">
        <v>2.0408163265306121E-2</v>
      </c>
    </row>
    <row r="11" spans="1:2" x14ac:dyDescent="0.25">
      <c r="A11" s="3" t="s">
        <v>43</v>
      </c>
      <c r="B11" s="4">
        <v>1.020408163265306E-2</v>
      </c>
    </row>
    <row r="12" spans="1:2" x14ac:dyDescent="0.25">
      <c r="A12" s="3" t="s">
        <v>69</v>
      </c>
      <c r="B12" s="4">
        <v>1.020408163265306E-2</v>
      </c>
    </row>
    <row r="13" spans="1:2" x14ac:dyDescent="0.25">
      <c r="A13" s="3" t="s">
        <v>35</v>
      </c>
      <c r="B13" s="4">
        <v>1.020408163265306E-2</v>
      </c>
    </row>
    <row r="14" spans="1:2" x14ac:dyDescent="0.25">
      <c r="A14" s="3" t="s">
        <v>63</v>
      </c>
      <c r="B14" s="4">
        <v>1.020408163265306E-2</v>
      </c>
    </row>
    <row r="15" spans="1:2" x14ac:dyDescent="0.25">
      <c r="A15" s="3" t="s">
        <v>58</v>
      </c>
      <c r="B15" s="4">
        <v>1.020408163265306E-2</v>
      </c>
    </row>
    <row r="16" spans="1:2" x14ac:dyDescent="0.25">
      <c r="A16" s="3" t="s">
        <v>22</v>
      </c>
      <c r="B16" s="4">
        <v>2.0408163265306121E-2</v>
      </c>
    </row>
    <row r="17" spans="1:2" x14ac:dyDescent="0.25">
      <c r="A17" s="3" t="s">
        <v>70</v>
      </c>
      <c r="B17" s="4">
        <v>1.020408163265306E-2</v>
      </c>
    </row>
    <row r="18" spans="1:2" x14ac:dyDescent="0.25">
      <c r="A18" s="3" t="s">
        <v>125</v>
      </c>
      <c r="B18" s="4">
        <v>8.1632653061224483E-2</v>
      </c>
    </row>
    <row r="19" spans="1:2" x14ac:dyDescent="0.25">
      <c r="A19" s="3" t="s">
        <v>123</v>
      </c>
      <c r="B19" s="4">
        <v>1.020408163265306E-2</v>
      </c>
    </row>
    <row r="20" spans="1:2" x14ac:dyDescent="0.25">
      <c r="A20" s="3" t="s">
        <v>155</v>
      </c>
      <c r="B20" s="4">
        <v>4.0816326530612242E-2</v>
      </c>
    </row>
    <row r="21" spans="1:2" x14ac:dyDescent="0.25">
      <c r="A21" s="3" t="s">
        <v>93</v>
      </c>
      <c r="B21" s="4">
        <v>2.0408163265306121E-2</v>
      </c>
    </row>
    <row r="22" spans="1:2" x14ac:dyDescent="0.25">
      <c r="A22" s="3" t="s">
        <v>139</v>
      </c>
      <c r="B22" s="4">
        <v>1.020408163265306E-2</v>
      </c>
    </row>
    <row r="23" spans="1:2" x14ac:dyDescent="0.25">
      <c r="A23" s="3" t="s">
        <v>118</v>
      </c>
      <c r="B23" s="4">
        <v>1.020408163265306E-2</v>
      </c>
    </row>
    <row r="24" spans="1:2" x14ac:dyDescent="0.25">
      <c r="A24" s="3" t="s">
        <v>98</v>
      </c>
      <c r="B24" s="4">
        <v>1.020408163265306E-2</v>
      </c>
    </row>
    <row r="25" spans="1:2" x14ac:dyDescent="0.25">
      <c r="A25" s="3" t="s">
        <v>16</v>
      </c>
      <c r="B25" s="4">
        <v>2.0408163265306121E-2</v>
      </c>
    </row>
    <row r="26" spans="1:2" x14ac:dyDescent="0.25">
      <c r="A26" s="3" t="s">
        <v>27</v>
      </c>
      <c r="B26" s="4">
        <v>1.020408163265306E-2</v>
      </c>
    </row>
    <row r="27" spans="1:2" x14ac:dyDescent="0.25">
      <c r="A27" s="3" t="s">
        <v>44</v>
      </c>
      <c r="B27" s="4">
        <v>1.020408163265306E-2</v>
      </c>
    </row>
    <row r="28" spans="1:2" x14ac:dyDescent="0.25">
      <c r="A28" s="3" t="s">
        <v>52</v>
      </c>
      <c r="B28" s="4">
        <v>1.020408163265306E-2</v>
      </c>
    </row>
    <row r="29" spans="1:2" x14ac:dyDescent="0.25">
      <c r="A29" s="3" t="s">
        <v>110</v>
      </c>
      <c r="B29" s="4">
        <v>1.020408163265306E-2</v>
      </c>
    </row>
    <row r="30" spans="1:2" x14ac:dyDescent="0.25">
      <c r="A30" s="3" t="s">
        <v>51</v>
      </c>
      <c r="B30" s="4">
        <v>1.020408163265306E-2</v>
      </c>
    </row>
    <row r="31" spans="1:2" x14ac:dyDescent="0.25">
      <c r="A31" s="3" t="s">
        <v>47</v>
      </c>
      <c r="B31" s="4">
        <v>1.020408163265306E-2</v>
      </c>
    </row>
    <row r="32" spans="1:2" x14ac:dyDescent="0.25">
      <c r="A32" s="3" t="s">
        <v>24</v>
      </c>
      <c r="B32" s="4">
        <v>2.0408163265306121E-2</v>
      </c>
    </row>
    <row r="33" spans="1:2" x14ac:dyDescent="0.25">
      <c r="A33" s="3" t="s">
        <v>94</v>
      </c>
      <c r="B33" s="4">
        <v>1.020408163265306E-2</v>
      </c>
    </row>
    <row r="34" spans="1:2" x14ac:dyDescent="0.25">
      <c r="A34" s="3" t="s">
        <v>14</v>
      </c>
      <c r="B34" s="4">
        <v>2.0408163265306121E-2</v>
      </c>
    </row>
    <row r="35" spans="1:2" x14ac:dyDescent="0.25">
      <c r="A35" s="3" t="s">
        <v>30</v>
      </c>
      <c r="B35" s="4">
        <v>1.020408163265306E-2</v>
      </c>
    </row>
    <row r="36" spans="1:2" x14ac:dyDescent="0.25">
      <c r="A36" s="3" t="s">
        <v>18</v>
      </c>
      <c r="B36" s="4">
        <v>3.0612244897959183E-2</v>
      </c>
    </row>
    <row r="37" spans="1:2" x14ac:dyDescent="0.25">
      <c r="A37" s="3" t="s">
        <v>164</v>
      </c>
      <c r="B37" s="4">
        <v>3.0612244897959183E-2</v>
      </c>
    </row>
    <row r="38" spans="1:2" x14ac:dyDescent="0.25">
      <c r="A38" s="3" t="s">
        <v>179</v>
      </c>
      <c r="B38" s="4">
        <v>4.0816326530612242E-2</v>
      </c>
    </row>
    <row r="39" spans="1:2" x14ac:dyDescent="0.25">
      <c r="A39" s="3" t="s">
        <v>67</v>
      </c>
      <c r="B39" s="4">
        <v>7.1428571428571425E-2</v>
      </c>
    </row>
    <row r="40" spans="1:2" x14ac:dyDescent="0.25">
      <c r="A40" s="3" t="s">
        <v>73</v>
      </c>
      <c r="B40" s="4">
        <v>7.1428571428571425E-2</v>
      </c>
    </row>
    <row r="41" spans="1:2" x14ac:dyDescent="0.25">
      <c r="A41" s="3" t="s">
        <v>144</v>
      </c>
      <c r="B41" s="4">
        <v>2.0408163265306121E-2</v>
      </c>
    </row>
    <row r="42" spans="1:2" x14ac:dyDescent="0.25">
      <c r="A42" s="3" t="s">
        <v>90</v>
      </c>
      <c r="B42" s="4">
        <v>9.1836734693877556E-2</v>
      </c>
    </row>
    <row r="43" spans="1:2" x14ac:dyDescent="0.25">
      <c r="A43" s="3" t="s">
        <v>126</v>
      </c>
      <c r="B43" s="4">
        <v>2.0408163265306121E-2</v>
      </c>
    </row>
    <row r="44" spans="1:2" x14ac:dyDescent="0.25">
      <c r="A44" s="3" t="s">
        <v>20</v>
      </c>
      <c r="B44" s="4">
        <v>3.0612244897959183E-2</v>
      </c>
    </row>
    <row r="45" spans="1:2" x14ac:dyDescent="0.25">
      <c r="A45" s="3" t="s">
        <v>117</v>
      </c>
      <c r="B45" s="4">
        <v>3.0612244897959183E-2</v>
      </c>
    </row>
    <row r="46" spans="1:2" x14ac:dyDescent="0.25">
      <c r="A46" s="3" t="s">
        <v>65</v>
      </c>
      <c r="B46" s="4">
        <v>1.020408163265306E-2</v>
      </c>
    </row>
    <row r="47" spans="1:2" x14ac:dyDescent="0.25">
      <c r="A47" s="3" t="s">
        <v>8</v>
      </c>
      <c r="B47" s="4">
        <v>1.020408163265306E-2</v>
      </c>
    </row>
    <row r="48" spans="1:2" x14ac:dyDescent="0.25">
      <c r="A48" s="3" t="s">
        <v>89</v>
      </c>
      <c r="B48" s="4">
        <v>1.020408163265306E-2</v>
      </c>
    </row>
    <row r="49" spans="1:2" x14ac:dyDescent="0.25">
      <c r="A49" s="3" t="s">
        <v>91</v>
      </c>
      <c r="B49" s="4">
        <v>1.020408163265306E-2</v>
      </c>
    </row>
    <row r="50" spans="1:2" x14ac:dyDescent="0.25">
      <c r="A50" s="3" t="s">
        <v>74</v>
      </c>
      <c r="B50" s="4">
        <v>1.020408163265306E-2</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3:B6"/>
  <sheetViews>
    <sheetView workbookViewId="0">
      <selection activeCell="AF10" sqref="AF10"/>
    </sheetView>
  </sheetViews>
  <sheetFormatPr defaultRowHeight="15" x14ac:dyDescent="0.25"/>
  <cols>
    <col min="1" max="1" width="13.140625" bestFit="1" customWidth="1"/>
    <col min="2" max="2" width="14.42578125" bestFit="1" customWidth="1"/>
    <col min="3" max="3" width="4" bestFit="1" customWidth="1"/>
    <col min="4" max="4" width="2" bestFit="1" customWidth="1"/>
    <col min="5" max="5" width="4" bestFit="1" customWidth="1"/>
    <col min="6" max="29" width="3" bestFit="1" customWidth="1"/>
    <col min="30" max="30" width="11.28515625" bestFit="1" customWidth="1"/>
  </cols>
  <sheetData>
    <row r="3" spans="1:2" x14ac:dyDescent="0.25">
      <c r="A3" s="2" t="s">
        <v>187</v>
      </c>
      <c r="B3" t="s">
        <v>194</v>
      </c>
    </row>
    <row r="4" spans="1:2" x14ac:dyDescent="0.25">
      <c r="A4" s="3" t="s">
        <v>188</v>
      </c>
      <c r="B4" s="4">
        <v>0.77479892761394098</v>
      </c>
    </row>
    <row r="5" spans="1:2" x14ac:dyDescent="0.25">
      <c r="A5" s="3" t="s">
        <v>189</v>
      </c>
      <c r="B5" s="4">
        <v>0.22520107238605899</v>
      </c>
    </row>
    <row r="6" spans="1:2" x14ac:dyDescent="0.25">
      <c r="A6" s="3" t="s">
        <v>190</v>
      </c>
      <c r="B6" s="4">
        <v>1</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I1"/>
  <sheetViews>
    <sheetView topLeftCell="B1" workbookViewId="0">
      <selection activeCell="V18" sqref="U15:V18"/>
    </sheetView>
  </sheetViews>
  <sheetFormatPr defaultRowHeight="15" x14ac:dyDescent="0.25"/>
  <cols>
    <col min="1" max="16384" width="9.140625" style="5"/>
  </cols>
  <sheetData>
    <row r="1" spans="9:9" s="6" customFormat="1" ht="23.25" customHeight="1" x14ac:dyDescent="0.35">
      <c r="I1" s="6" t="s">
        <v>193</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B13DE-5C21-419C-A751-7CAB6933C2C0}">
  <dimension ref="A1:Q24"/>
  <sheetViews>
    <sheetView tabSelected="1" topLeftCell="A8" workbookViewId="0">
      <selection activeCell="K23" sqref="K23"/>
    </sheetView>
  </sheetViews>
  <sheetFormatPr defaultRowHeight="15" x14ac:dyDescent="0.25"/>
  <cols>
    <col min="2" max="2" width="13.85546875" customWidth="1"/>
    <col min="3" max="3" width="17.28515625" bestFit="1" customWidth="1"/>
    <col min="4" max="4" width="13.5703125" bestFit="1" customWidth="1"/>
    <col min="5" max="5" width="14.7109375" bestFit="1" customWidth="1"/>
    <col min="7" max="7" width="16.5703125" bestFit="1" customWidth="1"/>
    <col min="8" max="8" width="10.140625" customWidth="1"/>
    <col min="9" max="9" width="16.140625" bestFit="1" customWidth="1"/>
    <col min="10" max="10" width="4.5703125" bestFit="1" customWidth="1"/>
    <col min="12" max="12" width="11.7109375" customWidth="1"/>
    <col min="14" max="14" width="11.5703125" customWidth="1"/>
  </cols>
  <sheetData>
    <row r="1" spans="1:17" s="141" customFormat="1" ht="36" x14ac:dyDescent="0.55000000000000004">
      <c r="A1" s="140" t="s">
        <v>349</v>
      </c>
      <c r="B1" s="140"/>
      <c r="C1" s="140"/>
      <c r="D1" s="140"/>
      <c r="E1" s="140"/>
      <c r="F1" s="140"/>
      <c r="G1" s="140"/>
      <c r="H1" s="140"/>
      <c r="I1" s="140"/>
      <c r="J1" s="140"/>
      <c r="K1" s="140"/>
      <c r="L1" s="140"/>
      <c r="M1" s="140"/>
      <c r="N1" s="140"/>
      <c r="O1" s="140"/>
      <c r="P1" s="140"/>
      <c r="Q1" s="140"/>
    </row>
    <row r="4" spans="1:17" ht="1.5" customHeight="1" thickBot="1" x14ac:dyDescent="0.3"/>
    <row r="5" spans="1:17" ht="39.75" customHeight="1" thickBot="1" x14ac:dyDescent="0.4">
      <c r="B5" s="124" t="s">
        <v>336</v>
      </c>
      <c r="C5" s="125"/>
      <c r="D5" s="125"/>
      <c r="E5" s="126"/>
      <c r="G5" s="127" t="s">
        <v>337</v>
      </c>
      <c r="H5" s="128"/>
      <c r="I5" s="128"/>
      <c r="J5" s="129"/>
    </row>
    <row r="6" spans="1:17" ht="17.25" customHeight="1" x14ac:dyDescent="0.25">
      <c r="B6" s="130" t="s">
        <v>338</v>
      </c>
      <c r="C6" s="130"/>
      <c r="D6" s="130"/>
      <c r="E6" s="130"/>
      <c r="F6" s="131"/>
      <c r="G6" s="132" t="s">
        <v>339</v>
      </c>
      <c r="H6" s="132"/>
      <c r="I6" s="132"/>
      <c r="J6" s="132"/>
    </row>
    <row r="7" spans="1:17" x14ac:dyDescent="0.25">
      <c r="B7" s="133" t="s">
        <v>201</v>
      </c>
      <c r="C7" s="134" t="s">
        <v>340</v>
      </c>
      <c r="D7" s="133" t="s">
        <v>341</v>
      </c>
      <c r="E7" s="133" t="s">
        <v>333</v>
      </c>
      <c r="G7" s="134" t="s">
        <v>342</v>
      </c>
      <c r="H7" s="133" t="s">
        <v>343</v>
      </c>
      <c r="I7" s="133" t="s">
        <v>344</v>
      </c>
      <c r="J7" s="139">
        <v>0.1</v>
      </c>
    </row>
    <row r="8" spans="1:17" x14ac:dyDescent="0.25">
      <c r="B8" s="13" t="s">
        <v>345</v>
      </c>
      <c r="C8" s="135">
        <v>400</v>
      </c>
      <c r="D8" s="136">
        <v>500</v>
      </c>
      <c r="E8" s="137">
        <f>C8/D8*100</f>
        <v>80</v>
      </c>
      <c r="G8" s="138" t="s">
        <v>202</v>
      </c>
      <c r="H8" s="13">
        <v>30000</v>
      </c>
      <c r="I8" s="13">
        <f>H8*$K$5+H8</f>
        <v>30000</v>
      </c>
    </row>
    <row r="9" spans="1:17" x14ac:dyDescent="0.25">
      <c r="B9" s="13" t="s">
        <v>202</v>
      </c>
      <c r="C9" s="135">
        <v>350</v>
      </c>
      <c r="D9" s="136">
        <v>500</v>
      </c>
      <c r="E9" s="137">
        <f t="shared" ref="E9:E14" si="0">C9/D9*100</f>
        <v>70</v>
      </c>
      <c r="G9" s="138" t="s">
        <v>206</v>
      </c>
      <c r="H9" s="13">
        <v>40000</v>
      </c>
      <c r="I9" s="13">
        <f t="shared" ref="I9:I14" si="1">H9*$K$5+H9</f>
        <v>40000</v>
      </c>
    </row>
    <row r="10" spans="1:17" x14ac:dyDescent="0.25">
      <c r="B10" s="13" t="s">
        <v>206</v>
      </c>
      <c r="C10" s="135">
        <v>299</v>
      </c>
      <c r="D10" s="136">
        <v>500</v>
      </c>
      <c r="E10" s="137">
        <f t="shared" si="0"/>
        <v>59.8</v>
      </c>
      <c r="G10" s="138" t="s">
        <v>345</v>
      </c>
      <c r="H10" s="13">
        <v>30000</v>
      </c>
      <c r="I10" s="13">
        <f t="shared" si="1"/>
        <v>30000</v>
      </c>
    </row>
    <row r="11" spans="1:17" x14ac:dyDescent="0.25">
      <c r="B11" s="13" t="s">
        <v>346</v>
      </c>
      <c r="C11" s="135">
        <v>499</v>
      </c>
      <c r="D11" s="136">
        <v>500</v>
      </c>
      <c r="E11" s="137">
        <f t="shared" si="0"/>
        <v>99.8</v>
      </c>
      <c r="G11" s="138" t="s">
        <v>347</v>
      </c>
      <c r="H11" s="13">
        <v>20000</v>
      </c>
      <c r="I11" s="13">
        <f t="shared" si="1"/>
        <v>20000</v>
      </c>
    </row>
    <row r="12" spans="1:17" x14ac:dyDescent="0.25">
      <c r="B12" s="13" t="s">
        <v>245</v>
      </c>
      <c r="C12" s="135">
        <v>342</v>
      </c>
      <c r="D12" s="136">
        <v>500</v>
      </c>
      <c r="E12" s="137">
        <f t="shared" si="0"/>
        <v>68.400000000000006</v>
      </c>
      <c r="G12" s="13" t="s">
        <v>245</v>
      </c>
      <c r="H12" s="13">
        <v>100000</v>
      </c>
      <c r="I12" s="13">
        <f t="shared" si="1"/>
        <v>100000</v>
      </c>
    </row>
    <row r="13" spans="1:17" x14ac:dyDescent="0.25">
      <c r="B13" s="13" t="s">
        <v>348</v>
      </c>
      <c r="C13" s="135">
        <v>453</v>
      </c>
      <c r="D13" s="136">
        <v>500</v>
      </c>
      <c r="E13" s="137">
        <f t="shared" si="0"/>
        <v>90.600000000000009</v>
      </c>
      <c r="G13" s="13" t="s">
        <v>348</v>
      </c>
      <c r="H13" s="13">
        <v>140000</v>
      </c>
      <c r="I13" s="13">
        <f t="shared" si="1"/>
        <v>140000</v>
      </c>
    </row>
    <row r="14" spans="1:17" x14ac:dyDescent="0.25">
      <c r="B14" s="13" t="s">
        <v>204</v>
      </c>
      <c r="C14" s="135">
        <v>455</v>
      </c>
      <c r="D14" s="136">
        <v>500</v>
      </c>
      <c r="E14" s="137">
        <f t="shared" si="0"/>
        <v>91</v>
      </c>
      <c r="G14" s="13" t="s">
        <v>204</v>
      </c>
      <c r="H14" s="13">
        <v>20000</v>
      </c>
      <c r="I14" s="13">
        <f t="shared" si="1"/>
        <v>20000</v>
      </c>
    </row>
    <row r="16" spans="1:17" s="87" customFormat="1" ht="19.5" customHeight="1" x14ac:dyDescent="0.25">
      <c r="B16" s="95" t="s">
        <v>200</v>
      </c>
    </row>
    <row r="18" spans="2:14" x14ac:dyDescent="0.25">
      <c r="C18" s="14" t="s">
        <v>270</v>
      </c>
      <c r="G18" s="14" t="s">
        <v>271</v>
      </c>
      <c r="L18" s="45" t="s">
        <v>272</v>
      </c>
      <c r="M18" s="9"/>
      <c r="N18" s="9"/>
    </row>
    <row r="19" spans="2:14" x14ac:dyDescent="0.25">
      <c r="B19" s="10" t="s">
        <v>201</v>
      </c>
      <c r="C19" s="10" t="s">
        <v>208</v>
      </c>
      <c r="D19" s="10" t="s">
        <v>209</v>
      </c>
      <c r="F19" s="10" t="s">
        <v>201</v>
      </c>
      <c r="G19" s="10" t="s">
        <v>208</v>
      </c>
      <c r="H19" s="10" t="s">
        <v>209</v>
      </c>
      <c r="L19" s="10" t="s">
        <v>201</v>
      </c>
      <c r="M19" s="10" t="s">
        <v>208</v>
      </c>
      <c r="N19" s="10" t="s">
        <v>209</v>
      </c>
    </row>
    <row r="20" spans="2:14" x14ac:dyDescent="0.25">
      <c r="B20" s="13" t="s">
        <v>202</v>
      </c>
      <c r="C20" s="13">
        <v>1000</v>
      </c>
      <c r="D20" s="13">
        <v>900</v>
      </c>
      <c r="F20" s="13" t="s">
        <v>202</v>
      </c>
      <c r="G20" s="13">
        <v>800</v>
      </c>
      <c r="H20" s="13">
        <v>700</v>
      </c>
      <c r="L20" s="13" t="s">
        <v>202</v>
      </c>
      <c r="M20" s="13">
        <v>1800</v>
      </c>
      <c r="N20" s="13">
        <v>1600</v>
      </c>
    </row>
    <row r="21" spans="2:14" x14ac:dyDescent="0.25">
      <c r="B21" s="13" t="s">
        <v>206</v>
      </c>
      <c r="C21" s="13">
        <v>1000</v>
      </c>
      <c r="D21" s="13">
        <v>500</v>
      </c>
      <c r="F21" s="13" t="s">
        <v>206</v>
      </c>
      <c r="G21" s="13">
        <v>300</v>
      </c>
      <c r="H21" s="13">
        <v>500</v>
      </c>
      <c r="L21" s="13" t="s">
        <v>206</v>
      </c>
      <c r="M21" s="13">
        <v>1300</v>
      </c>
      <c r="N21" s="13">
        <v>1000</v>
      </c>
    </row>
    <row r="22" spans="2:14" x14ac:dyDescent="0.25">
      <c r="B22" s="13" t="s">
        <v>207</v>
      </c>
      <c r="C22" s="13">
        <v>2000</v>
      </c>
      <c r="D22" s="13">
        <v>400</v>
      </c>
      <c r="F22" s="13" t="s">
        <v>207</v>
      </c>
      <c r="G22" s="13">
        <v>6000</v>
      </c>
      <c r="H22" s="13">
        <v>700</v>
      </c>
      <c r="L22" s="13" t="s">
        <v>207</v>
      </c>
      <c r="M22" s="13">
        <v>8000</v>
      </c>
      <c r="N22" s="13">
        <v>1100</v>
      </c>
    </row>
    <row r="23" spans="2:14" x14ac:dyDescent="0.25">
      <c r="B23" s="13" t="s">
        <v>205</v>
      </c>
      <c r="C23" s="13">
        <v>3000</v>
      </c>
      <c r="D23" s="13">
        <v>5000</v>
      </c>
      <c r="F23" s="13" t="s">
        <v>205</v>
      </c>
      <c r="G23" s="13">
        <v>500</v>
      </c>
      <c r="H23" s="13">
        <v>400</v>
      </c>
      <c r="L23" s="13" t="s">
        <v>205</v>
      </c>
      <c r="M23" s="13">
        <v>3500</v>
      </c>
      <c r="N23" s="13">
        <v>5400</v>
      </c>
    </row>
    <row r="24" spans="2:14" x14ac:dyDescent="0.25">
      <c r="B24" s="13" t="s">
        <v>203</v>
      </c>
      <c r="C24" s="13">
        <v>500</v>
      </c>
      <c r="D24" s="13">
        <v>600</v>
      </c>
      <c r="F24" s="13" t="s">
        <v>203</v>
      </c>
      <c r="G24" s="13">
        <v>1000</v>
      </c>
      <c r="H24" s="13">
        <v>200</v>
      </c>
      <c r="L24" s="13" t="s">
        <v>203</v>
      </c>
      <c r="M24" s="13">
        <v>1500</v>
      </c>
      <c r="N24" s="13">
        <v>800</v>
      </c>
    </row>
  </sheetData>
  <dataConsolidate topLabels="1" link="1">
    <dataRefs count="2">
      <dataRef ref="B35:D40" sheet="Formula Refrencing"/>
      <dataRef ref="F35:H40" sheet="Formula Refrencing"/>
    </dataRefs>
  </dataConsolidate>
  <mergeCells count="5">
    <mergeCell ref="A1:Q1"/>
    <mergeCell ref="B5:E5"/>
    <mergeCell ref="G5:J5"/>
    <mergeCell ref="B6:E6"/>
    <mergeCell ref="G6:J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3FCA4-5CAB-4117-9E61-48920BF699AB}">
  <dimension ref="B1:J18"/>
  <sheetViews>
    <sheetView topLeftCell="K1" workbookViewId="0">
      <selection activeCell="M8" sqref="M8"/>
    </sheetView>
  </sheetViews>
  <sheetFormatPr defaultRowHeight="15" x14ac:dyDescent="0.25"/>
  <cols>
    <col min="1" max="3" width="11.28515625" customWidth="1"/>
    <col min="4" max="4" width="18.28515625" customWidth="1"/>
    <col min="5" max="5" width="12.7109375" customWidth="1"/>
    <col min="6" max="6" width="19.5703125" customWidth="1"/>
    <col min="7" max="7" width="15.85546875" customWidth="1"/>
    <col min="8" max="8" width="17.140625" customWidth="1"/>
  </cols>
  <sheetData>
    <row r="1" spans="2:10" s="81" customFormat="1" ht="28.5" customHeight="1" x14ac:dyDescent="0.25">
      <c r="E1" s="81" t="s">
        <v>313</v>
      </c>
    </row>
    <row r="3" spans="2:10" s="51" customFormat="1" ht="37.5" customHeight="1" x14ac:dyDescent="0.25">
      <c r="B3" s="50" t="s">
        <v>318</v>
      </c>
      <c r="C3" s="50" t="s">
        <v>0</v>
      </c>
      <c r="D3" s="94" t="s">
        <v>185</v>
      </c>
      <c r="E3" s="50" t="s">
        <v>1</v>
      </c>
      <c r="F3" s="50" t="s">
        <v>2</v>
      </c>
      <c r="G3" s="50" t="s">
        <v>3</v>
      </c>
      <c r="H3" s="50" t="s">
        <v>4</v>
      </c>
      <c r="I3" s="94" t="s">
        <v>186</v>
      </c>
      <c r="J3" s="50" t="s">
        <v>5</v>
      </c>
    </row>
    <row r="4" spans="2:10" x14ac:dyDescent="0.25">
      <c r="B4" s="13">
        <v>1</v>
      </c>
      <c r="C4" s="13">
        <v>23</v>
      </c>
      <c r="D4" s="13" t="str">
        <f t="shared" ref="D4:D18" si="0">IF(C4&gt;=50,"Senior",IF(C4&gt;=25,"Adult","Teenager"))</f>
        <v>Teenager</v>
      </c>
      <c r="E4" s="13" t="s">
        <v>9</v>
      </c>
      <c r="F4" s="13" t="s">
        <v>7</v>
      </c>
      <c r="G4" s="13" t="s">
        <v>109</v>
      </c>
      <c r="H4" s="13">
        <v>0.5</v>
      </c>
      <c r="I4" s="13" t="str">
        <f>IF(H4&gt;=4,"Experienced",IF(H4&lt;=3,"Fresher"))</f>
        <v>Fresher</v>
      </c>
      <c r="J4" s="13" t="str">
        <f>IF(H4&lt;=1,"20000",IF(H4&lt;=3,"30000",IF(H4&lt;=10,"60000",IF(H4&lt;=15,"100000",IF(H4&lt;=20,"150000",IF(H4&lt;=25,"200000"))))))</f>
        <v>20000</v>
      </c>
    </row>
    <row r="5" spans="2:10" x14ac:dyDescent="0.25">
      <c r="B5" s="13">
        <v>2</v>
      </c>
      <c r="C5" s="13">
        <v>24</v>
      </c>
      <c r="D5" s="13" t="str">
        <f t="shared" si="0"/>
        <v>Teenager</v>
      </c>
      <c r="E5" s="13" t="s">
        <v>6</v>
      </c>
      <c r="F5" s="13" t="s">
        <v>7</v>
      </c>
      <c r="G5" s="13" t="s">
        <v>38</v>
      </c>
      <c r="H5" s="13">
        <v>1</v>
      </c>
      <c r="I5" s="13" t="str">
        <f t="shared" ref="I5:I18" si="1">IF(H5&gt;=4,"Experienced",IF(H5&lt;=3,"Fresher"))</f>
        <v>Fresher</v>
      </c>
      <c r="J5" s="13" t="str">
        <f t="shared" ref="J5:J18" si="2">IF(H5&lt;=1,"20000",IF(H5&lt;=3,"30000",IF(H5&lt;=10,"60000",IF(H5&lt;=15,"100000",IF(H5&lt;=20,"150000",IF(H5&lt;=25,"200000"))))))</f>
        <v>20000</v>
      </c>
    </row>
    <row r="6" spans="2:10" x14ac:dyDescent="0.25">
      <c r="B6" s="13">
        <v>3</v>
      </c>
      <c r="C6" s="13">
        <v>25</v>
      </c>
      <c r="D6" s="13" t="str">
        <f t="shared" si="0"/>
        <v>Adult</v>
      </c>
      <c r="E6" s="13" t="s">
        <v>9</v>
      </c>
      <c r="F6" s="13" t="s">
        <v>7</v>
      </c>
      <c r="G6" s="13" t="s">
        <v>29</v>
      </c>
      <c r="H6" s="13">
        <v>0</v>
      </c>
      <c r="I6" s="13" t="str">
        <f t="shared" si="1"/>
        <v>Fresher</v>
      </c>
      <c r="J6" s="13" t="str">
        <f t="shared" si="2"/>
        <v>20000</v>
      </c>
    </row>
    <row r="7" spans="2:10" x14ac:dyDescent="0.25">
      <c r="B7" s="13">
        <v>4</v>
      </c>
      <c r="C7" s="13">
        <v>25</v>
      </c>
      <c r="D7" s="13" t="str">
        <f t="shared" si="0"/>
        <v>Adult</v>
      </c>
      <c r="E7" s="13" t="s">
        <v>6</v>
      </c>
      <c r="F7" s="13" t="s">
        <v>7</v>
      </c>
      <c r="G7" s="13" t="s">
        <v>58</v>
      </c>
      <c r="H7" s="13">
        <v>0</v>
      </c>
      <c r="I7" s="13" t="str">
        <f t="shared" si="1"/>
        <v>Fresher</v>
      </c>
      <c r="J7" s="13" t="str">
        <f t="shared" si="2"/>
        <v>20000</v>
      </c>
    </row>
    <row r="8" spans="2:10" x14ac:dyDescent="0.25">
      <c r="B8" s="13">
        <v>5</v>
      </c>
      <c r="C8" s="13">
        <v>25</v>
      </c>
      <c r="D8" s="13" t="str">
        <f t="shared" si="0"/>
        <v>Adult</v>
      </c>
      <c r="E8" s="13" t="s">
        <v>6</v>
      </c>
      <c r="F8" s="13" t="s">
        <v>7</v>
      </c>
      <c r="G8" s="13" t="s">
        <v>82</v>
      </c>
      <c r="H8" s="13">
        <v>0</v>
      </c>
      <c r="I8" s="13" t="str">
        <f t="shared" si="1"/>
        <v>Fresher</v>
      </c>
      <c r="J8" s="13" t="str">
        <f t="shared" si="2"/>
        <v>20000</v>
      </c>
    </row>
    <row r="9" spans="2:10" x14ac:dyDescent="0.25">
      <c r="B9" s="13">
        <v>6</v>
      </c>
      <c r="C9" s="13">
        <v>25</v>
      </c>
      <c r="D9" s="13" t="str">
        <f t="shared" si="0"/>
        <v>Adult</v>
      </c>
      <c r="E9" s="13" t="s">
        <v>9</v>
      </c>
      <c r="F9" s="13" t="s">
        <v>10</v>
      </c>
      <c r="G9" s="13" t="s">
        <v>127</v>
      </c>
      <c r="H9" s="13">
        <v>1.5</v>
      </c>
      <c r="I9" s="13" t="str">
        <f t="shared" si="1"/>
        <v>Fresher</v>
      </c>
      <c r="J9" s="13" t="str">
        <f t="shared" si="2"/>
        <v>30000</v>
      </c>
    </row>
    <row r="10" spans="2:10" x14ac:dyDescent="0.25">
      <c r="B10" s="13">
        <v>7</v>
      </c>
      <c r="C10" s="13">
        <v>26</v>
      </c>
      <c r="D10" s="13" t="str">
        <f t="shared" si="0"/>
        <v>Adult</v>
      </c>
      <c r="E10" s="13" t="s">
        <v>9</v>
      </c>
      <c r="F10" s="13" t="s">
        <v>7</v>
      </c>
      <c r="G10" s="13" t="s">
        <v>19</v>
      </c>
      <c r="H10" s="13">
        <v>1</v>
      </c>
      <c r="I10" s="13" t="str">
        <f t="shared" si="1"/>
        <v>Fresher</v>
      </c>
      <c r="J10" s="13" t="str">
        <f t="shared" si="2"/>
        <v>20000</v>
      </c>
    </row>
    <row r="11" spans="2:10" x14ac:dyDescent="0.25">
      <c r="B11" s="13">
        <v>8</v>
      </c>
      <c r="C11" s="13">
        <v>26</v>
      </c>
      <c r="D11" s="13" t="str">
        <f t="shared" si="0"/>
        <v>Adult</v>
      </c>
      <c r="E11" s="13" t="s">
        <v>9</v>
      </c>
      <c r="F11" s="13" t="s">
        <v>7</v>
      </c>
      <c r="G11" s="13" t="s">
        <v>48</v>
      </c>
      <c r="H11" s="13">
        <v>1</v>
      </c>
      <c r="I11" s="13" t="str">
        <f t="shared" si="1"/>
        <v>Fresher</v>
      </c>
      <c r="J11" s="13" t="str">
        <f t="shared" si="2"/>
        <v>20000</v>
      </c>
    </row>
    <row r="12" spans="2:10" x14ac:dyDescent="0.25">
      <c r="B12" s="13">
        <v>9</v>
      </c>
      <c r="C12" s="13">
        <v>26</v>
      </c>
      <c r="D12" s="13" t="str">
        <f t="shared" si="0"/>
        <v>Adult</v>
      </c>
      <c r="E12" s="13" t="s">
        <v>6</v>
      </c>
      <c r="F12" s="13" t="s">
        <v>7</v>
      </c>
      <c r="G12" s="13" t="s">
        <v>68</v>
      </c>
      <c r="H12" s="13">
        <v>1</v>
      </c>
      <c r="I12" s="13" t="str">
        <f t="shared" si="1"/>
        <v>Fresher</v>
      </c>
      <c r="J12" s="13" t="str">
        <f t="shared" si="2"/>
        <v>20000</v>
      </c>
    </row>
    <row r="13" spans="2:10" x14ac:dyDescent="0.25">
      <c r="B13" s="13">
        <v>10</v>
      </c>
      <c r="C13" s="13">
        <v>26</v>
      </c>
      <c r="D13" s="13" t="str">
        <f t="shared" si="0"/>
        <v>Adult</v>
      </c>
      <c r="E13" s="13" t="s">
        <v>6</v>
      </c>
      <c r="F13" s="13" t="s">
        <v>7</v>
      </c>
      <c r="G13" s="13" t="s">
        <v>93</v>
      </c>
      <c r="H13" s="13">
        <v>1</v>
      </c>
      <c r="I13" s="13" t="str">
        <f t="shared" si="1"/>
        <v>Fresher</v>
      </c>
      <c r="J13" s="13" t="str">
        <f t="shared" si="2"/>
        <v>20000</v>
      </c>
    </row>
    <row r="14" spans="2:10" x14ac:dyDescent="0.25">
      <c r="B14" s="13">
        <v>11</v>
      </c>
      <c r="C14" s="13">
        <v>26</v>
      </c>
      <c r="D14" s="13" t="str">
        <f t="shared" si="0"/>
        <v>Adult</v>
      </c>
      <c r="E14" s="13" t="s">
        <v>6</v>
      </c>
      <c r="F14" s="13" t="s">
        <v>7</v>
      </c>
      <c r="G14" s="13" t="s">
        <v>68</v>
      </c>
      <c r="H14" s="13">
        <v>2</v>
      </c>
      <c r="I14" s="13" t="str">
        <f t="shared" si="1"/>
        <v>Fresher</v>
      </c>
      <c r="J14" s="13" t="str">
        <f t="shared" si="2"/>
        <v>30000</v>
      </c>
    </row>
    <row r="15" spans="2:10" x14ac:dyDescent="0.25">
      <c r="B15" s="13">
        <v>12</v>
      </c>
      <c r="C15" s="13">
        <v>26</v>
      </c>
      <c r="D15" s="13" t="str">
        <f t="shared" si="0"/>
        <v>Adult</v>
      </c>
      <c r="E15" s="13" t="s">
        <v>6</v>
      </c>
      <c r="F15" s="13" t="s">
        <v>7</v>
      </c>
      <c r="G15" s="13" t="s">
        <v>134</v>
      </c>
      <c r="H15" s="13">
        <v>2</v>
      </c>
      <c r="I15" s="13" t="str">
        <f t="shared" si="1"/>
        <v>Fresher</v>
      </c>
      <c r="J15" s="13" t="str">
        <f t="shared" si="2"/>
        <v>30000</v>
      </c>
    </row>
    <row r="16" spans="2:10" x14ac:dyDescent="0.25">
      <c r="B16" s="13">
        <v>13</v>
      </c>
      <c r="C16" s="13">
        <v>26</v>
      </c>
      <c r="D16" s="13" t="str">
        <f t="shared" si="0"/>
        <v>Adult</v>
      </c>
      <c r="E16" s="13" t="s">
        <v>9</v>
      </c>
      <c r="F16" s="13" t="s">
        <v>10</v>
      </c>
      <c r="G16" s="13" t="s">
        <v>151</v>
      </c>
      <c r="H16" s="13">
        <v>1.5</v>
      </c>
      <c r="I16" s="13" t="str">
        <f t="shared" si="1"/>
        <v>Fresher</v>
      </c>
      <c r="J16" s="13" t="str">
        <f t="shared" si="2"/>
        <v>30000</v>
      </c>
    </row>
    <row r="17" spans="2:10" x14ac:dyDescent="0.25">
      <c r="B17" s="13">
        <v>14</v>
      </c>
      <c r="C17" s="13">
        <v>27</v>
      </c>
      <c r="D17" s="13" t="str">
        <f t="shared" si="0"/>
        <v>Adult</v>
      </c>
      <c r="E17" s="13" t="s">
        <v>6</v>
      </c>
      <c r="F17" s="13" t="s">
        <v>7</v>
      </c>
      <c r="G17" s="13" t="s">
        <v>25</v>
      </c>
      <c r="H17" s="13">
        <v>2</v>
      </c>
      <c r="I17" s="13" t="str">
        <f t="shared" si="1"/>
        <v>Fresher</v>
      </c>
      <c r="J17" s="13" t="str">
        <f t="shared" si="2"/>
        <v>30000</v>
      </c>
    </row>
    <row r="18" spans="2:10" x14ac:dyDescent="0.25">
      <c r="B18" s="13">
        <v>15</v>
      </c>
      <c r="C18" s="13">
        <v>27</v>
      </c>
      <c r="D18" s="13" t="str">
        <f t="shared" si="0"/>
        <v>Adult</v>
      </c>
      <c r="E18" s="13" t="s">
        <v>6</v>
      </c>
      <c r="F18" s="13" t="s">
        <v>7</v>
      </c>
      <c r="G18" s="13" t="s">
        <v>45</v>
      </c>
      <c r="H18" s="13">
        <v>2</v>
      </c>
      <c r="I18" s="13" t="str">
        <f t="shared" si="1"/>
        <v>Fresher</v>
      </c>
      <c r="J18" s="13" t="str">
        <f t="shared" si="2"/>
        <v>30000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FA522-199A-4264-892D-05ABB603ABD8}">
  <dimension ref="A1:S52"/>
  <sheetViews>
    <sheetView topLeftCell="A29" workbookViewId="0">
      <selection activeCell="R45" sqref="R45"/>
    </sheetView>
  </sheetViews>
  <sheetFormatPr defaultRowHeight="15" x14ac:dyDescent="0.25"/>
  <cols>
    <col min="1" max="1" width="10.85546875" customWidth="1"/>
    <col min="2" max="2" width="12.85546875" style="3" customWidth="1"/>
    <col min="3" max="3" width="19.5703125" customWidth="1"/>
    <col min="4" max="4" width="15.85546875" customWidth="1"/>
    <col min="5" max="5" width="15.5703125" customWidth="1"/>
    <col min="6" max="6" width="14.5703125" customWidth="1"/>
    <col min="7" max="7" width="19.5703125" customWidth="1"/>
    <col min="8" max="8" width="16" customWidth="1"/>
    <col min="9" max="9" width="20.140625" customWidth="1"/>
    <col min="10" max="10" width="11.7109375" customWidth="1"/>
    <col min="12" max="14" width="10.42578125" bestFit="1" customWidth="1"/>
    <col min="15" max="15" width="12.7109375" customWidth="1"/>
    <col min="17" max="17" width="11.28515625" bestFit="1" customWidth="1"/>
    <col min="18" max="18" width="15.85546875" customWidth="1"/>
    <col min="19" max="19" width="27.42578125" customWidth="1"/>
  </cols>
  <sheetData>
    <row r="1" spans="2:14" s="79" customFormat="1" ht="26.25" x14ac:dyDescent="0.4">
      <c r="B1" s="80"/>
      <c r="F1" s="79" t="s">
        <v>314</v>
      </c>
    </row>
    <row r="3" spans="2:14" s="38" customFormat="1" ht="19.5" x14ac:dyDescent="0.25">
      <c r="B3" s="39"/>
      <c r="G3" s="38" t="s">
        <v>212</v>
      </c>
    </row>
    <row r="5" spans="2:14" s="8" customFormat="1" x14ac:dyDescent="0.25">
      <c r="B5" s="26" t="s">
        <v>213</v>
      </c>
      <c r="C5" s="15">
        <f ca="1">DAY(D5)</f>
        <v>23</v>
      </c>
      <c r="D5" s="24">
        <f ca="1">TODAY()</f>
        <v>45283</v>
      </c>
      <c r="E5"/>
      <c r="F5" s="17" t="s">
        <v>225</v>
      </c>
      <c r="G5" s="12"/>
      <c r="H5"/>
      <c r="I5"/>
      <c r="J5"/>
      <c r="L5"/>
      <c r="M5"/>
    </row>
    <row r="6" spans="2:14" x14ac:dyDescent="0.25">
      <c r="B6" s="26" t="s">
        <v>214</v>
      </c>
      <c r="C6" s="15">
        <f>_xlfn.DAYS(M6,L6)</f>
        <v>0</v>
      </c>
      <c r="F6" s="18">
        <v>43831</v>
      </c>
      <c r="G6" s="18">
        <v>44197</v>
      </c>
      <c r="H6" s="16"/>
      <c r="N6" s="16"/>
    </row>
    <row r="7" spans="2:14" x14ac:dyDescent="0.25">
      <c r="B7" s="26" t="s">
        <v>215</v>
      </c>
      <c r="C7" s="15">
        <f ca="1">HOUR(NOW())</f>
        <v>22</v>
      </c>
      <c r="F7" s="18">
        <v>44166</v>
      </c>
      <c r="G7" s="18">
        <v>44531</v>
      </c>
    </row>
    <row r="8" spans="2:14" x14ac:dyDescent="0.25">
      <c r="B8" s="26" t="s">
        <v>216</v>
      </c>
      <c r="C8" s="15">
        <f ca="1">MINUTE(NOW())</f>
        <v>35</v>
      </c>
      <c r="F8" s="18">
        <v>44348</v>
      </c>
      <c r="G8" s="18">
        <v>44348</v>
      </c>
    </row>
    <row r="9" spans="2:14" x14ac:dyDescent="0.25">
      <c r="B9" s="26" t="s">
        <v>217</v>
      </c>
      <c r="C9" s="15">
        <f ca="1">MONTH(D9)</f>
        <v>12</v>
      </c>
      <c r="D9" s="24">
        <f ca="1">TODAY()</f>
        <v>45283</v>
      </c>
      <c r="F9" s="18">
        <v>44835</v>
      </c>
      <c r="G9" s="18">
        <v>44835</v>
      </c>
    </row>
    <row r="10" spans="2:14" x14ac:dyDescent="0.25">
      <c r="B10" s="26" t="s">
        <v>218</v>
      </c>
      <c r="C10" s="20">
        <f ca="1">NOW()</f>
        <v>45283.940969560186</v>
      </c>
    </row>
    <row r="11" spans="2:14" x14ac:dyDescent="0.25">
      <c r="B11" s="26" t="s">
        <v>219</v>
      </c>
      <c r="C11" s="15">
        <f ca="1">SECOND(C10)</f>
        <v>0</v>
      </c>
    </row>
    <row r="12" spans="2:14" x14ac:dyDescent="0.25">
      <c r="B12" s="26" t="s">
        <v>226</v>
      </c>
      <c r="C12" s="21">
        <f>TIME(20,26,16)</f>
        <v>0.85157407407407415</v>
      </c>
      <c r="N12" s="16"/>
    </row>
    <row r="13" spans="2:14" x14ac:dyDescent="0.25">
      <c r="B13" s="26" t="s">
        <v>220</v>
      </c>
      <c r="C13" s="22">
        <f ca="1">TODAY()</f>
        <v>45283</v>
      </c>
    </row>
    <row r="14" spans="2:14" x14ac:dyDescent="0.25">
      <c r="B14" s="26" t="s">
        <v>221</v>
      </c>
      <c r="C14" s="15">
        <f>WEEKDAY(L6)</f>
        <v>7</v>
      </c>
    </row>
    <row r="15" spans="2:14" x14ac:dyDescent="0.25">
      <c r="B15" s="26" t="s">
        <v>222</v>
      </c>
      <c r="C15" s="15">
        <f>WEEKNUM(L9)</f>
        <v>0</v>
      </c>
    </row>
    <row r="16" spans="2:14" x14ac:dyDescent="0.25">
      <c r="B16" s="26" t="s">
        <v>223</v>
      </c>
      <c r="C16" s="23">
        <f>WORKDAY(L6,10,L12:L13)</f>
        <v>13</v>
      </c>
    </row>
    <row r="17" spans="2:10" x14ac:dyDescent="0.25">
      <c r="B17" s="26" t="s">
        <v>224</v>
      </c>
      <c r="C17" s="15">
        <f ca="1">YEAR(D17)</f>
        <v>2023</v>
      </c>
      <c r="D17" s="24">
        <f ca="1">TODAY()</f>
        <v>45283</v>
      </c>
    </row>
    <row r="20" spans="2:10" x14ac:dyDescent="0.25">
      <c r="B20" s="25" t="s">
        <v>227</v>
      </c>
      <c r="C20" s="7"/>
      <c r="E20" s="7" t="s">
        <v>231</v>
      </c>
      <c r="I20" s="7" t="s">
        <v>235</v>
      </c>
    </row>
    <row r="21" spans="2:10" x14ac:dyDescent="0.25">
      <c r="B21" s="26" t="s">
        <v>228</v>
      </c>
      <c r="C21" s="27">
        <f ca="1">TODAY()</f>
        <v>45283</v>
      </c>
      <c r="E21" s="33" t="s">
        <v>232</v>
      </c>
      <c r="F21" s="34"/>
      <c r="G21" s="28">
        <f ca="1">TODAY()</f>
        <v>45283</v>
      </c>
      <c r="I21" s="26" t="s">
        <v>228</v>
      </c>
      <c r="J21" s="27">
        <f ca="1">TODAY()</f>
        <v>45283</v>
      </c>
    </row>
    <row r="22" spans="2:10" x14ac:dyDescent="0.25">
      <c r="B22" s="26" t="s">
        <v>229</v>
      </c>
      <c r="C22" s="22">
        <f ca="1">C21+5</f>
        <v>45288</v>
      </c>
      <c r="E22" s="30" t="s">
        <v>228</v>
      </c>
      <c r="F22" s="32"/>
      <c r="G22" s="19">
        <f ca="1">EDATE(G21,10)</f>
        <v>45588</v>
      </c>
      <c r="I22" s="26" t="s">
        <v>236</v>
      </c>
      <c r="J22" s="22">
        <f ca="1">EDATE(J21,120 )</f>
        <v>48936</v>
      </c>
    </row>
    <row r="23" spans="2:10" x14ac:dyDescent="0.25">
      <c r="B23" s="26" t="s">
        <v>230</v>
      </c>
      <c r="C23" s="22">
        <f ca="1">C21-5</f>
        <v>45278</v>
      </c>
      <c r="E23" s="26" t="s">
        <v>233</v>
      </c>
      <c r="F23" s="31"/>
      <c r="G23" s="19">
        <f ca="1">EDATE(G21,-10)</f>
        <v>44980</v>
      </c>
      <c r="I23" s="26" t="s">
        <v>237</v>
      </c>
      <c r="J23" s="22">
        <f ca="1">EDATE(J21,-120 )</f>
        <v>41631</v>
      </c>
    </row>
    <row r="24" spans="2:10" x14ac:dyDescent="0.25">
      <c r="E24" s="26" t="s">
        <v>234</v>
      </c>
      <c r="F24" s="29"/>
    </row>
    <row r="27" spans="2:10" x14ac:dyDescent="0.25">
      <c r="B27" s="37" t="s">
        <v>240</v>
      </c>
      <c r="C27" s="10" t="s">
        <v>238</v>
      </c>
      <c r="D27" s="10" t="s">
        <v>239</v>
      </c>
      <c r="E27" s="10"/>
    </row>
    <row r="28" spans="2:10" x14ac:dyDescent="0.25">
      <c r="B28" s="35">
        <f ca="1">TODAY()</f>
        <v>45283</v>
      </c>
      <c r="C28" s="36">
        <f ca="1">EOMONTH(B28,0)</f>
        <v>45291</v>
      </c>
      <c r="D28" s="36">
        <f ca="1">EOMONTH(B28,-1)+1</f>
        <v>45261</v>
      </c>
    </row>
    <row r="33" spans="1:19" s="38" customFormat="1" ht="19.5" x14ac:dyDescent="0.25">
      <c r="F33" s="38" t="s">
        <v>241</v>
      </c>
      <c r="G33" s="5"/>
      <c r="K33" s="5"/>
    </row>
    <row r="34" spans="1:19" x14ac:dyDescent="0.25">
      <c r="B34"/>
    </row>
    <row r="35" spans="1:19" x14ac:dyDescent="0.25">
      <c r="A35" s="40" t="s">
        <v>201</v>
      </c>
      <c r="B35" s="41" t="s">
        <v>242</v>
      </c>
      <c r="C35" s="42" t="s">
        <v>253</v>
      </c>
      <c r="D35" s="42" t="s">
        <v>254</v>
      </c>
      <c r="E35" s="42" t="s">
        <v>255</v>
      </c>
      <c r="F35" s="42" t="s">
        <v>256</v>
      </c>
      <c r="G35" s="42" t="s">
        <v>257</v>
      </c>
      <c r="H35" s="42" t="s">
        <v>258</v>
      </c>
      <c r="I35" s="42" t="s">
        <v>259</v>
      </c>
      <c r="J35" s="42" t="s">
        <v>260</v>
      </c>
      <c r="K35" s="42" t="s">
        <v>261</v>
      </c>
      <c r="L35" s="42" t="s">
        <v>262</v>
      </c>
      <c r="M35" s="42" t="s">
        <v>263</v>
      </c>
      <c r="N35" s="42" t="s">
        <v>264</v>
      </c>
      <c r="O35" s="42" t="s">
        <v>265</v>
      </c>
      <c r="P35" s="42" t="s">
        <v>266</v>
      </c>
      <c r="Q35" s="42" t="s">
        <v>267</v>
      </c>
      <c r="R35" s="42" t="s">
        <v>268</v>
      </c>
      <c r="S35" s="42" t="s">
        <v>269</v>
      </c>
    </row>
    <row r="36" spans="1:19" x14ac:dyDescent="0.25">
      <c r="A36" s="15" t="s">
        <v>244</v>
      </c>
      <c r="B36" s="15" t="s">
        <v>243</v>
      </c>
      <c r="C36" s="13" t="str">
        <f>UPPER(A36)</f>
        <v>IQRA</v>
      </c>
      <c r="D36" s="13" t="str">
        <f>LOWER(B36)</f>
        <v>dalvi</v>
      </c>
      <c r="E36" s="13" t="str">
        <f>PROPER(A36)</f>
        <v>Iqra</v>
      </c>
      <c r="F36" s="13">
        <f>LEN(B36)</f>
        <v>5</v>
      </c>
      <c r="G36" s="13" t="str">
        <f t="shared" ref="G36:G42" si="0">CONCATENATE(A36,B36)</f>
        <v>iqraDalvi</v>
      </c>
      <c r="H36" s="13" t="str">
        <f t="shared" ref="H36:H42" si="1">A36 &amp; B36</f>
        <v>iqraDalvi</v>
      </c>
      <c r="I36" s="44" t="str">
        <f>DOLLAR(10)</f>
        <v>₹ 10.00</v>
      </c>
      <c r="J36" s="13" t="b">
        <f>EXACT(A36,B36)</f>
        <v>0</v>
      </c>
      <c r="K36" s="13">
        <f>FIND("a",G36)</f>
        <v>4</v>
      </c>
      <c r="L36" s="13" t="str">
        <f>LEFT(C36,2)</f>
        <v>IQ</v>
      </c>
      <c r="M36" s="13" t="str">
        <f>RIGHT(B36,3)</f>
        <v>lvi</v>
      </c>
      <c r="N36" s="13" t="str">
        <f>MID(G36,3,5)</f>
        <v>raDal</v>
      </c>
      <c r="O36" s="13" t="str">
        <f t="shared" ref="O36:O42" si="2">REPLACE(A36,1,4,D36)</f>
        <v>dalvi</v>
      </c>
      <c r="P36" s="13">
        <f t="shared" ref="P36:P41" si="3">SEARCH("a",A36)</f>
        <v>4</v>
      </c>
      <c r="Q36" s="13" t="str">
        <f>SUBSTITUTE(O36,"dalvi","+dalvi")</f>
        <v>+dalvi</v>
      </c>
      <c r="R36" s="13" t="str">
        <f>TRIM(Q36)</f>
        <v>+dalvi</v>
      </c>
      <c r="S36" s="13" t="str">
        <f>REPT(A36,3)</f>
        <v>iqraiqraiqra</v>
      </c>
    </row>
    <row r="37" spans="1:19" x14ac:dyDescent="0.25">
      <c r="A37" s="15" t="s">
        <v>245</v>
      </c>
      <c r="B37" s="15" t="s">
        <v>249</v>
      </c>
      <c r="C37" s="13" t="str">
        <f t="shared" ref="C37:C42" si="4">UPPER(A37)</f>
        <v>KHADIJA</v>
      </c>
      <c r="D37" s="13" t="str">
        <f t="shared" ref="D37:D42" si="5">LOWER(B37)</f>
        <v>khot</v>
      </c>
      <c r="E37" s="13" t="str">
        <f t="shared" ref="E37:E42" si="6">PROPER(A37)</f>
        <v>Khadija</v>
      </c>
      <c r="F37" s="13">
        <f t="shared" ref="F37:F42" si="7">LEN(B37)</f>
        <v>4</v>
      </c>
      <c r="G37" s="13" t="str">
        <f t="shared" si="0"/>
        <v>khadijakhot</v>
      </c>
      <c r="H37" s="13" t="str">
        <f t="shared" si="1"/>
        <v>khadijakhot</v>
      </c>
      <c r="I37" s="43">
        <v>50</v>
      </c>
      <c r="J37" s="13" t="b">
        <f>EXACT(B39,B42)</f>
        <v>1</v>
      </c>
      <c r="K37" s="13">
        <f t="shared" ref="K37:K42" si="8">FIND("a",G37)</f>
        <v>3</v>
      </c>
      <c r="L37" s="13" t="str">
        <f t="shared" ref="L37:L42" si="9">LEFT(C37,2)</f>
        <v>KH</v>
      </c>
      <c r="M37" s="13" t="str">
        <f t="shared" ref="M37:M42" si="10">RIGHT(B37,3)</f>
        <v>hot</v>
      </c>
      <c r="N37" s="13" t="str">
        <f t="shared" ref="N37:N42" si="11">MID(G37,3,5)</f>
        <v>adija</v>
      </c>
      <c r="O37" s="13" t="str">
        <f t="shared" si="2"/>
        <v>khotija</v>
      </c>
      <c r="P37" s="13">
        <f t="shared" si="3"/>
        <v>3</v>
      </c>
      <c r="Q37" s="13" t="str">
        <f>SUBSTITUTE(O37,"khotija","+khot")</f>
        <v>+khot</v>
      </c>
      <c r="R37" s="13" t="str">
        <f t="shared" ref="R37:R42" si="12">TRIM(Q37)</f>
        <v>+khot</v>
      </c>
      <c r="S37" s="13" t="str">
        <f t="shared" ref="S37:S42" si="13">REPT(A37,3)</f>
        <v>khadijakhadijakhadija</v>
      </c>
    </row>
    <row r="38" spans="1:19" x14ac:dyDescent="0.25">
      <c r="A38" s="15" t="s">
        <v>246</v>
      </c>
      <c r="B38" s="15" t="s">
        <v>250</v>
      </c>
      <c r="C38" s="13" t="str">
        <f t="shared" si="4"/>
        <v>AYESHA</v>
      </c>
      <c r="D38" s="13" t="str">
        <f t="shared" si="5"/>
        <v>shaikh</v>
      </c>
      <c r="E38" s="13" t="str">
        <f t="shared" si="6"/>
        <v>Ayesha</v>
      </c>
      <c r="F38" s="13">
        <f t="shared" si="7"/>
        <v>6</v>
      </c>
      <c r="G38" s="13" t="str">
        <f t="shared" si="0"/>
        <v>ayeshashaikh</v>
      </c>
      <c r="H38" s="13" t="str">
        <f t="shared" si="1"/>
        <v>ayeshashaikh</v>
      </c>
      <c r="I38" s="43">
        <v>39</v>
      </c>
      <c r="J38" s="13" t="b">
        <f>EXACT(A38,B38)</f>
        <v>0</v>
      </c>
      <c r="K38" s="13">
        <f t="shared" si="8"/>
        <v>1</v>
      </c>
      <c r="L38" s="13" t="str">
        <f t="shared" si="9"/>
        <v>AY</v>
      </c>
      <c r="M38" s="13" t="str">
        <f t="shared" si="10"/>
        <v>ikh</v>
      </c>
      <c r="N38" s="13" t="str">
        <f t="shared" si="11"/>
        <v>eshas</v>
      </c>
      <c r="O38" s="13" t="str">
        <f t="shared" si="2"/>
        <v>shaikhha</v>
      </c>
      <c r="P38" s="13">
        <f t="shared" si="3"/>
        <v>1</v>
      </c>
      <c r="Q38" s="13" t="str">
        <f>SUBSTITUTE(H39,H39,"+hiba")</f>
        <v>+hiba</v>
      </c>
      <c r="R38" s="13" t="str">
        <f t="shared" si="12"/>
        <v>+hiba</v>
      </c>
      <c r="S38" s="13" t="str">
        <f t="shared" si="13"/>
        <v>ayeshaayeshaayesha</v>
      </c>
    </row>
    <row r="39" spans="1:19" x14ac:dyDescent="0.25">
      <c r="A39" s="15" t="s">
        <v>247</v>
      </c>
      <c r="B39" s="15" t="s">
        <v>251</v>
      </c>
      <c r="C39" s="13" t="str">
        <f t="shared" si="4"/>
        <v>HIBA</v>
      </c>
      <c r="D39" s="13" t="str">
        <f t="shared" si="5"/>
        <v>khan</v>
      </c>
      <c r="E39" s="13" t="str">
        <f t="shared" si="6"/>
        <v>Hiba</v>
      </c>
      <c r="F39" s="13">
        <f t="shared" si="7"/>
        <v>4</v>
      </c>
      <c r="G39" s="13" t="str">
        <f t="shared" si="0"/>
        <v>hibakhan</v>
      </c>
      <c r="H39" s="13" t="str">
        <f t="shared" si="1"/>
        <v>hibakhan</v>
      </c>
      <c r="I39" s="43">
        <v>68</v>
      </c>
      <c r="J39" s="13" t="b">
        <f>EXACT(A39,B39)</f>
        <v>0</v>
      </c>
      <c r="K39" s="13">
        <f t="shared" si="8"/>
        <v>4</v>
      </c>
      <c r="L39" s="13" t="str">
        <f t="shared" si="9"/>
        <v>HI</v>
      </c>
      <c r="M39" s="13" t="str">
        <f t="shared" si="10"/>
        <v>han</v>
      </c>
      <c r="N39" s="13" t="str">
        <f t="shared" si="11"/>
        <v>bakha</v>
      </c>
      <c r="O39" s="13" t="str">
        <f t="shared" si="2"/>
        <v>khan</v>
      </c>
      <c r="P39" s="13">
        <f t="shared" si="3"/>
        <v>4</v>
      </c>
      <c r="Q39" s="13" t="str">
        <f>SUBSTITUTE(N39,N39,"+iqra")</f>
        <v>+iqra</v>
      </c>
      <c r="R39" s="13" t="str">
        <f t="shared" si="12"/>
        <v>+iqra</v>
      </c>
      <c r="S39" s="13" t="str">
        <f t="shared" si="13"/>
        <v>hibahibahiba</v>
      </c>
    </row>
    <row r="40" spans="1:19" x14ac:dyDescent="0.25">
      <c r="A40" s="15" t="s">
        <v>210</v>
      </c>
      <c r="B40" s="15" t="s">
        <v>250</v>
      </c>
      <c r="C40" s="13" t="str">
        <f t="shared" si="4"/>
        <v>MUSKAN</v>
      </c>
      <c r="D40" s="13" t="str">
        <f t="shared" si="5"/>
        <v>shaikh</v>
      </c>
      <c r="E40" s="13" t="str">
        <f t="shared" si="6"/>
        <v>Muskan</v>
      </c>
      <c r="F40" s="13">
        <f t="shared" si="7"/>
        <v>6</v>
      </c>
      <c r="G40" s="13" t="str">
        <f t="shared" si="0"/>
        <v>muskanshaikh</v>
      </c>
      <c r="H40" s="13" t="str">
        <f t="shared" si="1"/>
        <v>muskanshaikh</v>
      </c>
      <c r="I40" s="43">
        <v>7</v>
      </c>
      <c r="J40" s="13" t="b">
        <f>EXACT(A40,B40)</f>
        <v>0</v>
      </c>
      <c r="K40" s="13">
        <f t="shared" si="8"/>
        <v>5</v>
      </c>
      <c r="L40" s="13" t="str">
        <f t="shared" si="9"/>
        <v>MU</v>
      </c>
      <c r="M40" s="13" t="str">
        <f t="shared" si="10"/>
        <v>ikh</v>
      </c>
      <c r="N40" s="13" t="str">
        <f t="shared" si="11"/>
        <v>skans</v>
      </c>
      <c r="O40" s="13" t="str">
        <f t="shared" si="2"/>
        <v>shaikhan</v>
      </c>
      <c r="P40" s="13">
        <f t="shared" si="3"/>
        <v>5</v>
      </c>
      <c r="Q40" s="13" t="str">
        <f>SUBSTITUTE(N40,M40,"++++")</f>
        <v>skans</v>
      </c>
      <c r="R40" s="13" t="str">
        <f t="shared" si="12"/>
        <v>skans</v>
      </c>
      <c r="S40" s="13" t="str">
        <f t="shared" si="13"/>
        <v>muskanmuskanmuskan</v>
      </c>
    </row>
    <row r="41" spans="1:19" x14ac:dyDescent="0.25">
      <c r="A41" s="15" t="s">
        <v>211</v>
      </c>
      <c r="B41" s="15" t="s">
        <v>252</v>
      </c>
      <c r="C41" s="13" t="str">
        <f t="shared" si="4"/>
        <v>SANSKRUTI</v>
      </c>
      <c r="D41" s="13" t="str">
        <f t="shared" si="5"/>
        <v>rajput</v>
      </c>
      <c r="E41" s="13" t="str">
        <f t="shared" si="6"/>
        <v>Sanskruti</v>
      </c>
      <c r="F41" s="13">
        <f t="shared" si="7"/>
        <v>6</v>
      </c>
      <c r="G41" s="13" t="str">
        <f t="shared" si="0"/>
        <v>sanskrutirajput</v>
      </c>
      <c r="H41" s="13" t="str">
        <f t="shared" si="1"/>
        <v>sanskrutirajput</v>
      </c>
      <c r="I41" s="43">
        <v>42</v>
      </c>
      <c r="J41" s="13" t="b">
        <f>EXACT(A41,B41)</f>
        <v>0</v>
      </c>
      <c r="K41" s="13">
        <f t="shared" si="8"/>
        <v>2</v>
      </c>
      <c r="L41" s="13" t="str">
        <f t="shared" si="9"/>
        <v>SA</v>
      </c>
      <c r="M41" s="13" t="str">
        <f t="shared" si="10"/>
        <v>put</v>
      </c>
      <c r="N41" s="13" t="str">
        <f t="shared" si="11"/>
        <v>nskru</v>
      </c>
      <c r="O41" s="13" t="str">
        <f t="shared" si="2"/>
        <v>rajputkruti</v>
      </c>
      <c r="P41" s="13">
        <f t="shared" si="3"/>
        <v>2</v>
      </c>
      <c r="Q41" s="13" t="str">
        <f t="shared" ref="Q41:Q42" si="14">SUBSTITUTE(N41,M41,"++++")</f>
        <v>nskru</v>
      </c>
      <c r="R41" s="13" t="str">
        <f t="shared" si="12"/>
        <v>nskru</v>
      </c>
      <c r="S41" s="13" t="str">
        <f t="shared" si="13"/>
        <v>sanskrutisanskrutisanskruti</v>
      </c>
    </row>
    <row r="42" spans="1:19" x14ac:dyDescent="0.25">
      <c r="A42" s="15" t="s">
        <v>248</v>
      </c>
      <c r="B42" s="15" t="s">
        <v>251</v>
      </c>
      <c r="C42" s="13" t="str">
        <f t="shared" si="4"/>
        <v>TEHSEEN</v>
      </c>
      <c r="D42" s="13" t="str">
        <f t="shared" si="5"/>
        <v>khan</v>
      </c>
      <c r="E42" s="13" t="str">
        <f t="shared" si="6"/>
        <v>Tehseen</v>
      </c>
      <c r="F42" s="13">
        <f t="shared" si="7"/>
        <v>4</v>
      </c>
      <c r="G42" s="13" t="str">
        <f t="shared" si="0"/>
        <v>tehseenkhan</v>
      </c>
      <c r="H42" s="13" t="str">
        <f t="shared" si="1"/>
        <v>tehseenkhan</v>
      </c>
      <c r="I42" s="43">
        <v>3</v>
      </c>
      <c r="J42" s="13" t="b">
        <f>EXACT(A42,B42)</f>
        <v>0</v>
      </c>
      <c r="K42" s="13">
        <f t="shared" si="8"/>
        <v>10</v>
      </c>
      <c r="L42" s="13" t="str">
        <f t="shared" si="9"/>
        <v>TE</v>
      </c>
      <c r="M42" s="13" t="str">
        <f t="shared" si="10"/>
        <v>han</v>
      </c>
      <c r="N42" s="13" t="str">
        <f t="shared" si="11"/>
        <v>hseen</v>
      </c>
      <c r="O42" s="13" t="str">
        <f t="shared" si="2"/>
        <v>khaneen</v>
      </c>
      <c r="P42" s="13">
        <f>SEARCH("h",H42)</f>
        <v>3</v>
      </c>
      <c r="Q42" s="13" t="str">
        <f t="shared" si="14"/>
        <v>hseen</v>
      </c>
      <c r="R42" s="13" t="str">
        <f t="shared" si="12"/>
        <v>hseen</v>
      </c>
      <c r="S42" s="13" t="str">
        <f t="shared" si="13"/>
        <v>tehseentehseentehseen</v>
      </c>
    </row>
    <row r="43" spans="1:19" x14ac:dyDescent="0.25">
      <c r="B43"/>
    </row>
    <row r="44" spans="1:19" x14ac:dyDescent="0.25">
      <c r="B44"/>
    </row>
    <row r="45" spans="1:19" x14ac:dyDescent="0.25">
      <c r="B45"/>
    </row>
    <row r="46" spans="1:19" x14ac:dyDescent="0.25">
      <c r="B46"/>
    </row>
    <row r="47" spans="1:19" x14ac:dyDescent="0.25">
      <c r="B47"/>
    </row>
    <row r="48" spans="1:19" x14ac:dyDescent="0.25">
      <c r="B48"/>
    </row>
    <row r="49" spans="2:2" x14ac:dyDescent="0.25">
      <c r="B49"/>
    </row>
    <row r="50" spans="2:2" x14ac:dyDescent="0.25">
      <c r="B50"/>
    </row>
    <row r="51" spans="2:2" x14ac:dyDescent="0.25">
      <c r="B51"/>
    </row>
    <row r="52" spans="2:2" x14ac:dyDescent="0.25">
      <c r="B5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2F5BF-CCD6-4982-972E-A0F8689CFFA6}">
  <dimension ref="A1:L21"/>
  <sheetViews>
    <sheetView topLeftCell="D1" workbookViewId="0">
      <selection activeCell="J7" sqref="J7"/>
    </sheetView>
  </sheetViews>
  <sheetFormatPr defaultRowHeight="15" x14ac:dyDescent="0.25"/>
  <cols>
    <col min="1" max="1" width="11.140625" customWidth="1"/>
    <col min="3" max="3" width="12.5703125" customWidth="1"/>
    <col min="4" max="4" width="15.42578125" bestFit="1" customWidth="1"/>
    <col min="5" max="5" width="13.7109375" bestFit="1" customWidth="1"/>
    <col min="6" max="6" width="17" customWidth="1"/>
    <col min="7" max="7" width="18.28515625" customWidth="1"/>
    <col min="8" max="8" width="18.140625" customWidth="1"/>
    <col min="9" max="10" width="12.7109375" customWidth="1"/>
    <col min="11" max="11" width="12" bestFit="1" customWidth="1"/>
    <col min="12" max="12" width="15.140625" customWidth="1"/>
  </cols>
  <sheetData>
    <row r="1" spans="1:12" s="85" customFormat="1" ht="23.25" x14ac:dyDescent="0.35">
      <c r="G1" s="85" t="s">
        <v>316</v>
      </c>
    </row>
    <row r="3" spans="1:12" ht="38.25" customHeight="1" x14ac:dyDescent="0.35">
      <c r="A3" s="46" t="s">
        <v>318</v>
      </c>
      <c r="B3" s="46" t="s">
        <v>0</v>
      </c>
      <c r="C3" s="47" t="s">
        <v>185</v>
      </c>
      <c r="D3" s="46" t="s">
        <v>1</v>
      </c>
      <c r="E3" s="50" t="s">
        <v>2</v>
      </c>
      <c r="F3" s="46" t="s">
        <v>3</v>
      </c>
      <c r="G3" s="50" t="s">
        <v>4</v>
      </c>
      <c r="H3" s="47" t="s">
        <v>186</v>
      </c>
      <c r="I3" s="46" t="s">
        <v>5</v>
      </c>
      <c r="K3" s="86" t="s">
        <v>317</v>
      </c>
      <c r="L3" s="87"/>
    </row>
    <row r="4" spans="1:12" x14ac:dyDescent="0.25">
      <c r="A4" s="13">
        <v>1</v>
      </c>
      <c r="B4" s="13">
        <v>23</v>
      </c>
      <c r="C4" s="13" t="str">
        <f t="shared" ref="C4:C11" si="0">IF(B4&gt;=50,"Senior",IF(B4&gt;=25,"Adult","Teenager"))</f>
        <v>Teenager</v>
      </c>
      <c r="D4" s="13" t="s">
        <v>9</v>
      </c>
      <c r="E4" s="13" t="s">
        <v>7</v>
      </c>
      <c r="F4" s="13" t="s">
        <v>109</v>
      </c>
      <c r="G4" s="13">
        <v>0.5</v>
      </c>
      <c r="H4" s="13" t="str">
        <f>IF(G4&gt;=4,"Experienced",IF(G4&lt;=3,"Fresher"))</f>
        <v>Fresher</v>
      </c>
      <c r="I4" s="13" t="str">
        <f>IF(G4&lt;=1,"20000",IF(G4&lt;=3,"30000",IF(G4&lt;=10,"60000",IF(G4&lt;=15,"100000",IF(G4&lt;=20,"150000",IF(G4&lt;=25,"200000"))))))</f>
        <v>20000</v>
      </c>
    </row>
    <row r="5" spans="1:12" x14ac:dyDescent="0.25">
      <c r="A5" s="13">
        <v>2</v>
      </c>
      <c r="B5" s="13">
        <v>24</v>
      </c>
      <c r="C5" s="13" t="str">
        <f t="shared" si="0"/>
        <v>Teenager</v>
      </c>
      <c r="D5" s="13" t="s">
        <v>6</v>
      </c>
      <c r="E5" s="13" t="s">
        <v>7</v>
      </c>
      <c r="F5" s="13" t="s">
        <v>38</v>
      </c>
      <c r="G5" s="13">
        <v>1</v>
      </c>
      <c r="H5" s="13" t="str">
        <f t="shared" ref="H5:H11" si="1">IF(G5&gt;=4,"Experienced",IF(G5&lt;=3,"Fresher"))</f>
        <v>Fresher</v>
      </c>
      <c r="I5" s="13" t="str">
        <f t="shared" ref="I5:I11" si="2">IF(G5&lt;=1,"20000",IF(G5&lt;=3,"30000",IF(G5&lt;=10,"60000",IF(G5&lt;=15,"100000",IF(G5&lt;=20,"150000",IF(G5&lt;=25,"200000"))))))</f>
        <v>20000</v>
      </c>
      <c r="K5" s="46" t="s">
        <v>318</v>
      </c>
      <c r="L5" s="46" t="s">
        <v>5</v>
      </c>
    </row>
    <row r="6" spans="1:12" x14ac:dyDescent="0.25">
      <c r="A6" s="13">
        <v>3</v>
      </c>
      <c r="B6" s="13">
        <v>25</v>
      </c>
      <c r="C6" s="13" t="str">
        <f t="shared" si="0"/>
        <v>Adult</v>
      </c>
      <c r="D6" s="13" t="s">
        <v>9</v>
      </c>
      <c r="E6" s="13" t="s">
        <v>7</v>
      </c>
      <c r="F6" s="13" t="s">
        <v>29</v>
      </c>
      <c r="G6" s="13">
        <v>0</v>
      </c>
      <c r="H6" s="13" t="str">
        <f t="shared" si="1"/>
        <v>Fresher</v>
      </c>
      <c r="I6" s="13" t="str">
        <f t="shared" si="2"/>
        <v>20000</v>
      </c>
      <c r="K6">
        <v>6</v>
      </c>
      <c r="L6" s="55" t="str">
        <f>VLOOKUP(K6,A3:I378,9,0)</f>
        <v>30000</v>
      </c>
    </row>
    <row r="7" spans="1:12" x14ac:dyDescent="0.25">
      <c r="A7" s="13">
        <v>4</v>
      </c>
      <c r="B7" s="13">
        <v>25</v>
      </c>
      <c r="C7" s="13" t="str">
        <f t="shared" si="0"/>
        <v>Adult</v>
      </c>
      <c r="D7" s="13" t="s">
        <v>6</v>
      </c>
      <c r="E7" s="13" t="s">
        <v>7</v>
      </c>
      <c r="F7" s="13" t="s">
        <v>58</v>
      </c>
      <c r="G7" s="13">
        <v>0</v>
      </c>
      <c r="H7" s="13" t="str">
        <f t="shared" si="1"/>
        <v>Fresher</v>
      </c>
      <c r="I7" s="13" t="str">
        <f t="shared" si="2"/>
        <v>20000</v>
      </c>
    </row>
    <row r="8" spans="1:12" x14ac:dyDescent="0.25">
      <c r="A8" s="13">
        <v>5</v>
      </c>
      <c r="B8" s="13">
        <v>25</v>
      </c>
      <c r="C8" s="13" t="str">
        <f t="shared" si="0"/>
        <v>Adult</v>
      </c>
      <c r="D8" s="13" t="s">
        <v>6</v>
      </c>
      <c r="E8" s="13" t="s">
        <v>7</v>
      </c>
      <c r="F8" s="13" t="s">
        <v>82</v>
      </c>
      <c r="G8" s="13">
        <v>0</v>
      </c>
      <c r="H8" s="13" t="str">
        <f t="shared" si="1"/>
        <v>Fresher</v>
      </c>
      <c r="I8" s="13" t="str">
        <f t="shared" si="2"/>
        <v>20000</v>
      </c>
      <c r="K8" s="46" t="s">
        <v>318</v>
      </c>
      <c r="L8" s="46" t="s">
        <v>0</v>
      </c>
    </row>
    <row r="9" spans="1:12" x14ac:dyDescent="0.25">
      <c r="A9" s="13">
        <v>6</v>
      </c>
      <c r="B9" s="13">
        <v>25</v>
      </c>
      <c r="C9" s="13" t="str">
        <f t="shared" si="0"/>
        <v>Adult</v>
      </c>
      <c r="D9" s="13" t="s">
        <v>9</v>
      </c>
      <c r="E9" s="13" t="s">
        <v>10</v>
      </c>
      <c r="F9" s="13" t="s">
        <v>127</v>
      </c>
      <c r="G9" s="13">
        <v>1.5</v>
      </c>
      <c r="H9" s="13" t="str">
        <f t="shared" si="1"/>
        <v>Fresher</v>
      </c>
      <c r="I9" s="13" t="str">
        <f t="shared" si="2"/>
        <v>30000</v>
      </c>
      <c r="K9">
        <v>2</v>
      </c>
      <c r="L9">
        <f>VLOOKUP(K9,A3:I378,2,0)</f>
        <v>24</v>
      </c>
    </row>
    <row r="10" spans="1:12" x14ac:dyDescent="0.25">
      <c r="A10" s="13">
        <v>7</v>
      </c>
      <c r="B10" s="13">
        <v>26</v>
      </c>
      <c r="C10" s="13" t="str">
        <f t="shared" si="0"/>
        <v>Adult</v>
      </c>
      <c r="D10" s="13" t="s">
        <v>9</v>
      </c>
      <c r="E10" s="13" t="s">
        <v>7</v>
      </c>
      <c r="F10" s="13" t="s">
        <v>19</v>
      </c>
      <c r="G10" s="13">
        <v>1</v>
      </c>
      <c r="H10" s="13" t="str">
        <f t="shared" si="1"/>
        <v>Fresher</v>
      </c>
      <c r="I10" s="13" t="str">
        <f t="shared" si="2"/>
        <v>20000</v>
      </c>
    </row>
    <row r="11" spans="1:12" x14ac:dyDescent="0.25">
      <c r="A11" s="13">
        <v>8</v>
      </c>
      <c r="B11" s="13">
        <v>26</v>
      </c>
      <c r="C11" s="13" t="str">
        <f t="shared" si="0"/>
        <v>Adult</v>
      </c>
      <c r="D11" s="13" t="s">
        <v>9</v>
      </c>
      <c r="E11" s="13" t="s">
        <v>7</v>
      </c>
      <c r="F11" s="13" t="s">
        <v>48</v>
      </c>
      <c r="G11" s="13">
        <v>1</v>
      </c>
      <c r="H11" s="13" t="str">
        <f t="shared" si="1"/>
        <v>Fresher</v>
      </c>
      <c r="I11" s="13" t="str">
        <f t="shared" si="2"/>
        <v>20000</v>
      </c>
    </row>
    <row r="15" spans="1:12" ht="23.25" x14ac:dyDescent="0.35">
      <c r="A15" s="49" t="s">
        <v>318</v>
      </c>
      <c r="B15" s="13">
        <v>1</v>
      </c>
      <c r="C15" s="13">
        <v>2</v>
      </c>
      <c r="D15" s="13">
        <v>3</v>
      </c>
      <c r="E15" s="13">
        <v>4</v>
      </c>
      <c r="F15" s="13">
        <v>5</v>
      </c>
      <c r="G15" s="13">
        <v>6</v>
      </c>
      <c r="H15" s="13">
        <v>7</v>
      </c>
      <c r="I15" s="13">
        <v>8</v>
      </c>
      <c r="K15" s="86" t="s">
        <v>319</v>
      </c>
      <c r="L15" s="87"/>
    </row>
    <row r="16" spans="1:12" x14ac:dyDescent="0.25">
      <c r="A16" s="49" t="s">
        <v>0</v>
      </c>
      <c r="B16" s="13">
        <v>23</v>
      </c>
      <c r="C16" s="13">
        <v>34</v>
      </c>
      <c r="D16" s="13">
        <v>45</v>
      </c>
      <c r="E16" s="13">
        <v>44</v>
      </c>
      <c r="F16" s="13">
        <v>43</v>
      </c>
      <c r="G16" s="13">
        <v>22</v>
      </c>
      <c r="H16" s="13">
        <v>43</v>
      </c>
      <c r="I16" s="13">
        <v>66</v>
      </c>
      <c r="K16" s="46" t="s">
        <v>318</v>
      </c>
      <c r="L16" s="46" t="s">
        <v>5</v>
      </c>
    </row>
    <row r="17" spans="1:12" x14ac:dyDescent="0.25">
      <c r="A17" s="49" t="s">
        <v>5</v>
      </c>
      <c r="B17" s="13">
        <v>20000</v>
      </c>
      <c r="C17" s="13">
        <v>30000</v>
      </c>
      <c r="D17" s="13">
        <v>60000</v>
      </c>
      <c r="E17" s="13">
        <v>67777</v>
      </c>
      <c r="F17" s="13">
        <v>55555</v>
      </c>
      <c r="G17" s="13">
        <v>333333</v>
      </c>
      <c r="H17" s="13">
        <v>22222</v>
      </c>
      <c r="I17" s="13">
        <v>1122334</v>
      </c>
      <c r="K17">
        <v>3</v>
      </c>
      <c r="L17">
        <f>HLOOKUP(K17,A15:I17,3)</f>
        <v>60000</v>
      </c>
    </row>
    <row r="19" spans="1:12" x14ac:dyDescent="0.25">
      <c r="K19" s="46" t="s">
        <v>318</v>
      </c>
      <c r="L19" s="46" t="s">
        <v>0</v>
      </c>
    </row>
    <row r="20" spans="1:12" x14ac:dyDescent="0.25">
      <c r="K20">
        <v>6</v>
      </c>
      <c r="L20">
        <f>HLOOKUP(K20,A15:I17,2)</f>
        <v>22</v>
      </c>
    </row>
    <row r="21" spans="1:12" ht="28.5" customHeight="1" x14ac:dyDescent="0.25"/>
  </sheetData>
  <dataValidations count="2">
    <dataValidation type="list" allowBlank="1" showInputMessage="1" showErrorMessage="1" sqref="K6 K9" xr:uid="{A139FAAD-7A5F-47FF-9072-2355A58E603B}">
      <formula1>$A$4:$A$378</formula1>
    </dataValidation>
    <dataValidation type="list" allowBlank="1" showInputMessage="1" showErrorMessage="1" sqref="K17 K20" xr:uid="{97E3C128-B796-4143-A710-FDF1429D8320}">
      <formula1>$B$15:$I$15</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B0F69-2BA8-49A0-ADFE-CA1FF3AAC13D}">
  <dimension ref="A1:W378"/>
  <sheetViews>
    <sheetView topLeftCell="M1" workbookViewId="0">
      <selection activeCell="M6" sqref="M6"/>
    </sheetView>
  </sheetViews>
  <sheetFormatPr defaultRowHeight="15" x14ac:dyDescent="0.25"/>
  <cols>
    <col min="2" max="2" width="5.85546875" bestFit="1" customWidth="1"/>
    <col min="3" max="3" width="13.7109375" bestFit="1" customWidth="1"/>
    <col min="4" max="4" width="9.85546875" bestFit="1" customWidth="1"/>
    <col min="5" max="5" width="19.85546875" bestFit="1" customWidth="1"/>
    <col min="6" max="6" width="36.85546875" bestFit="1" customWidth="1"/>
    <col min="7" max="7" width="14.7109375" customWidth="1"/>
    <col min="8" max="8" width="12" bestFit="1" customWidth="1"/>
    <col min="9" max="9" width="8.5703125" style="48" bestFit="1" customWidth="1"/>
    <col min="10" max="10" width="10.7109375" style="13" customWidth="1"/>
    <col min="11" max="11" width="16.85546875" style="13" customWidth="1"/>
    <col min="12" max="12" width="23.42578125" style="13" customWidth="1"/>
    <col min="13" max="13" width="23.42578125" style="13" bestFit="1" customWidth="1"/>
    <col min="14" max="14" width="20.5703125" style="13" customWidth="1"/>
    <col min="16" max="16" width="12.85546875" customWidth="1"/>
    <col min="17" max="17" width="13" customWidth="1"/>
    <col min="21" max="21" width="13.5703125" customWidth="1"/>
    <col min="22" max="22" width="11.7109375" customWidth="1"/>
    <col min="23" max="23" width="12.140625" customWidth="1"/>
  </cols>
  <sheetData>
    <row r="1" spans="1:23" s="79" customFormat="1" ht="26.25" x14ac:dyDescent="0.4">
      <c r="G1" s="79" t="s">
        <v>315</v>
      </c>
      <c r="I1" s="82"/>
      <c r="J1" s="83"/>
      <c r="K1" s="83"/>
      <c r="L1" s="83"/>
      <c r="M1" s="83"/>
      <c r="N1" s="83"/>
    </row>
    <row r="3" spans="1:23" ht="18" customHeight="1" x14ac:dyDescent="0.25">
      <c r="J3" s="73" t="s">
        <v>289</v>
      </c>
      <c r="K3" s="73" t="s">
        <v>290</v>
      </c>
      <c r="L3" s="73" t="s">
        <v>292</v>
      </c>
      <c r="M3" s="73" t="s">
        <v>296</v>
      </c>
      <c r="N3" s="73" t="s">
        <v>298</v>
      </c>
    </row>
    <row r="4" spans="1:23" ht="44.25" customHeight="1" x14ac:dyDescent="0.25">
      <c r="J4" s="52"/>
      <c r="K4" s="74" t="s">
        <v>293</v>
      </c>
      <c r="L4" s="74" t="s">
        <v>294</v>
      </c>
      <c r="M4" s="74" t="s">
        <v>300</v>
      </c>
      <c r="N4" s="74" t="s">
        <v>301</v>
      </c>
    </row>
    <row r="5" spans="1:23" ht="51.75" customHeight="1" thickBot="1" x14ac:dyDescent="0.3">
      <c r="A5" s="46" t="s">
        <v>318</v>
      </c>
      <c r="B5" s="46" t="s">
        <v>0</v>
      </c>
      <c r="C5" s="47" t="s">
        <v>185</v>
      </c>
      <c r="D5" s="46" t="s">
        <v>1</v>
      </c>
      <c r="E5" s="46" t="s">
        <v>2</v>
      </c>
      <c r="F5" s="46" t="s">
        <v>3</v>
      </c>
      <c r="G5" s="50" t="s">
        <v>4</v>
      </c>
      <c r="H5" s="47" t="s">
        <v>186</v>
      </c>
      <c r="I5" s="64" t="s">
        <v>5</v>
      </c>
      <c r="J5" s="47" t="s">
        <v>288</v>
      </c>
      <c r="K5" s="54" t="s">
        <v>291</v>
      </c>
      <c r="L5" s="53" t="s">
        <v>295</v>
      </c>
      <c r="M5" s="54" t="s">
        <v>297</v>
      </c>
      <c r="N5" s="54" t="s">
        <v>299</v>
      </c>
    </row>
    <row r="6" spans="1:23" ht="15.75" thickBot="1" x14ac:dyDescent="0.3">
      <c r="A6" s="13">
        <v>1</v>
      </c>
      <c r="B6" s="13">
        <v>23</v>
      </c>
      <c r="C6" s="13" t="str">
        <f t="shared" ref="C6:C69" si="0">IF(B6&gt;=50,"Senior",IF(B6&gt;=25,"Adult","Teenager"))</f>
        <v>Teenager</v>
      </c>
      <c r="D6" s="13" t="s">
        <v>9</v>
      </c>
      <c r="E6" s="13" t="s">
        <v>7</v>
      </c>
      <c r="F6" s="13" t="s">
        <v>109</v>
      </c>
      <c r="G6" s="13">
        <v>0.5</v>
      </c>
      <c r="H6" s="13" t="str">
        <f>IF(G6&gt;=4,"Experienced",IF(G6&lt;=3,"Fresher"))</f>
        <v>Fresher</v>
      </c>
      <c r="I6" s="65" t="str">
        <f>IF(G6&lt;=1,"20000",IF(G6&lt;=3,"30000",IF(G6&lt;=10,"60000",IF(G6&lt;=15,"100000",IF(G6&lt;=20,"150000",IF(G6&lt;=25,"200000"))))))</f>
        <v>20000</v>
      </c>
      <c r="J6" s="43">
        <f>IF(I6&gt;=100000,I6*30%,IF(I6&gt;=50000,I6*20%,IF(I6&lt;50000,I6*10%)))</f>
        <v>6000</v>
      </c>
      <c r="K6" s="13" t="b">
        <f>OR(D6="Female",H6="Fresher")</f>
        <v>1</v>
      </c>
      <c r="L6" s="13" t="b">
        <f>AND(C6="Adult",D6="Male",H6="Experienced")</f>
        <v>0</v>
      </c>
      <c r="M6" s="13" t="str">
        <f>IF(OR(C6="Senior",H6="Experienced"),"GET BONUS","NO BONUS")</f>
        <v>NO BONUS</v>
      </c>
      <c r="N6" s="13" t="str">
        <f>IF(AND(D6="Female",E6="Master's"),"GET BONUS","NO BONUS")</f>
        <v>NO BONUS</v>
      </c>
      <c r="Q6" s="67" t="s">
        <v>303</v>
      </c>
      <c r="R6" s="75"/>
      <c r="S6" s="59"/>
      <c r="U6" s="57" t="s">
        <v>306</v>
      </c>
      <c r="V6" s="59" t="s">
        <v>307</v>
      </c>
    </row>
    <row r="7" spans="1:23" x14ac:dyDescent="0.25">
      <c r="A7" s="13">
        <v>2</v>
      </c>
      <c r="B7" s="13">
        <v>24</v>
      </c>
      <c r="C7" s="13" t="str">
        <f t="shared" si="0"/>
        <v>Teenager</v>
      </c>
      <c r="D7" s="13" t="s">
        <v>6</v>
      </c>
      <c r="E7" s="13" t="s">
        <v>7</v>
      </c>
      <c r="F7" s="13" t="s">
        <v>38</v>
      </c>
      <c r="G7" s="13">
        <v>1</v>
      </c>
      <c r="H7" s="13" t="str">
        <f t="shared" ref="H7:H70" si="1">IF(G7&gt;=4,"Experienced",IF(G7&lt;=3,"Fresher"))</f>
        <v>Fresher</v>
      </c>
      <c r="I7" s="65" t="str">
        <f t="shared" ref="I7:I70" si="2">IF(G7&lt;=1,"20000",IF(G7&lt;=3,"30000",IF(G7&lt;=10,"60000",IF(G7&lt;=15,"100000",IF(G7&lt;=20,"150000",IF(G7&lt;=25,"200000"))))))</f>
        <v>20000</v>
      </c>
      <c r="J7" s="43">
        <f t="shared" ref="J7:J70" si="3">IF(I7&gt;=100000,I7*30%,IF(I7&gt;=50000,I7*20%,IF(I7&lt;50000,I7*10%)))</f>
        <v>6000</v>
      </c>
      <c r="K7" s="13" t="b">
        <f t="shared" ref="K7:K70" si="4">OR(D7="Female",H7="Fresher")</f>
        <v>1</v>
      </c>
      <c r="L7" s="13" t="b">
        <f t="shared" ref="L7:L70" si="5">AND(C7="Adult",D7="Male",H7="Experienced")</f>
        <v>0</v>
      </c>
      <c r="M7" s="13" t="str">
        <f t="shared" ref="M7:M70" si="6">IF(OR(C7="Senior",H7="Experienced"),"GET BONUS","NO BONUS")</f>
        <v>NO BONUS</v>
      </c>
      <c r="N7" s="13" t="str">
        <f t="shared" ref="N7:N70" si="7">IF(AND(D7="Female",E7="Master's"),"GET BONUS","NO BONUS")</f>
        <v>NO BONUS</v>
      </c>
      <c r="Q7" s="56">
        <v>60</v>
      </c>
      <c r="R7" s="56">
        <v>2</v>
      </c>
      <c r="S7" s="62">
        <f>IFERROR(Q7/R7,"NULL")</f>
        <v>30</v>
      </c>
      <c r="U7" s="63" t="str">
        <f>IF(T7&gt;=4,"Experienced",IF(T7&lt;=3,"Fresher"))</f>
        <v>Fresher</v>
      </c>
      <c r="V7" s="63">
        <f>COUNTIF(B5:N378,U7)</f>
        <v>84</v>
      </c>
    </row>
    <row r="8" spans="1:23" x14ac:dyDescent="0.25">
      <c r="A8" s="13">
        <v>3</v>
      </c>
      <c r="B8" s="13">
        <v>25</v>
      </c>
      <c r="C8" s="13" t="str">
        <f t="shared" si="0"/>
        <v>Adult</v>
      </c>
      <c r="D8" s="13" t="s">
        <v>9</v>
      </c>
      <c r="E8" s="13" t="s">
        <v>7</v>
      </c>
      <c r="F8" s="13" t="s">
        <v>29</v>
      </c>
      <c r="G8" s="13">
        <v>0</v>
      </c>
      <c r="H8" s="13" t="str">
        <f t="shared" si="1"/>
        <v>Fresher</v>
      </c>
      <c r="I8" s="65" t="str">
        <f t="shared" si="2"/>
        <v>20000</v>
      </c>
      <c r="J8" s="43">
        <f t="shared" si="3"/>
        <v>6000</v>
      </c>
      <c r="K8" s="13" t="b">
        <f t="shared" si="4"/>
        <v>1</v>
      </c>
      <c r="L8" s="13" t="b">
        <f t="shared" si="5"/>
        <v>0</v>
      </c>
      <c r="M8" s="13" t="str">
        <f t="shared" si="6"/>
        <v>NO BONUS</v>
      </c>
      <c r="N8" s="13" t="str">
        <f t="shared" si="7"/>
        <v>NO BONUS</v>
      </c>
      <c r="Q8" s="13">
        <v>30</v>
      </c>
      <c r="R8" s="13">
        <v>3</v>
      </c>
      <c r="S8" s="62">
        <f t="shared" ref="S8:S11" si="8">IFERROR(Q8/R8,"NULL")</f>
        <v>10</v>
      </c>
      <c r="U8" s="42" t="s">
        <v>188</v>
      </c>
      <c r="V8" s="42">
        <f>COUNTIF(B5:N378,U8)</f>
        <v>289</v>
      </c>
    </row>
    <row r="9" spans="1:23" ht="15.75" thickBot="1" x14ac:dyDescent="0.3">
      <c r="A9" s="13">
        <v>4</v>
      </c>
      <c r="B9" s="13">
        <v>25</v>
      </c>
      <c r="C9" s="13" t="str">
        <f t="shared" si="0"/>
        <v>Adult</v>
      </c>
      <c r="D9" s="13" t="s">
        <v>6</v>
      </c>
      <c r="E9" s="13" t="s">
        <v>7</v>
      </c>
      <c r="F9" s="13" t="s">
        <v>58</v>
      </c>
      <c r="G9" s="13">
        <v>0</v>
      </c>
      <c r="H9" s="13" t="str">
        <f t="shared" si="1"/>
        <v>Fresher</v>
      </c>
      <c r="I9" s="65" t="str">
        <f t="shared" si="2"/>
        <v>20000</v>
      </c>
      <c r="J9" s="43">
        <f t="shared" si="3"/>
        <v>6000</v>
      </c>
      <c r="K9" s="13" t="b">
        <f t="shared" si="4"/>
        <v>1</v>
      </c>
      <c r="L9" s="13" t="b">
        <f t="shared" si="5"/>
        <v>0</v>
      </c>
      <c r="M9" s="13" t="str">
        <f t="shared" si="6"/>
        <v>NO BONUS</v>
      </c>
      <c r="N9" s="13" t="str">
        <f t="shared" si="7"/>
        <v>NO BONUS</v>
      </c>
      <c r="Q9" s="13">
        <v>20</v>
      </c>
      <c r="R9" s="60" t="s">
        <v>302</v>
      </c>
      <c r="S9" s="61" t="str">
        <f t="shared" si="8"/>
        <v>NULL</v>
      </c>
    </row>
    <row r="10" spans="1:23" ht="15.75" thickBot="1" x14ac:dyDescent="0.3">
      <c r="A10" s="13">
        <v>5</v>
      </c>
      <c r="B10" s="13">
        <v>25</v>
      </c>
      <c r="C10" s="13" t="str">
        <f t="shared" si="0"/>
        <v>Adult</v>
      </c>
      <c r="D10" s="13" t="s">
        <v>6</v>
      </c>
      <c r="E10" s="13" t="s">
        <v>7</v>
      </c>
      <c r="F10" s="13" t="s">
        <v>82</v>
      </c>
      <c r="G10" s="13">
        <v>0</v>
      </c>
      <c r="H10" s="13" t="str">
        <f t="shared" si="1"/>
        <v>Fresher</v>
      </c>
      <c r="I10" s="65" t="str">
        <f t="shared" si="2"/>
        <v>20000</v>
      </c>
      <c r="J10" s="43">
        <f t="shared" si="3"/>
        <v>6000</v>
      </c>
      <c r="K10" s="13" t="b">
        <f t="shared" si="4"/>
        <v>1</v>
      </c>
      <c r="L10" s="13" t="b">
        <f t="shared" si="5"/>
        <v>0</v>
      </c>
      <c r="M10" s="13" t="str">
        <f t="shared" si="6"/>
        <v>NO BONUS</v>
      </c>
      <c r="N10" s="13" t="str">
        <f t="shared" si="7"/>
        <v>NO BONUS</v>
      </c>
      <c r="Q10" s="13">
        <v>40</v>
      </c>
      <c r="R10" s="13">
        <v>10</v>
      </c>
      <c r="S10" s="62">
        <f t="shared" si="8"/>
        <v>4</v>
      </c>
      <c r="U10" s="57" t="s">
        <v>304</v>
      </c>
      <c r="W10" s="58" t="s">
        <v>308</v>
      </c>
    </row>
    <row r="11" spans="1:23" x14ac:dyDescent="0.25">
      <c r="A11" s="13">
        <v>6</v>
      </c>
      <c r="B11" s="13">
        <v>25</v>
      </c>
      <c r="C11" s="13" t="str">
        <f t="shared" si="0"/>
        <v>Adult</v>
      </c>
      <c r="D11" s="13" t="s">
        <v>9</v>
      </c>
      <c r="E11" s="13" t="s">
        <v>10</v>
      </c>
      <c r="F11" s="13" t="s">
        <v>127</v>
      </c>
      <c r="G11" s="13">
        <v>1.5</v>
      </c>
      <c r="H11" s="13" t="str">
        <f t="shared" si="1"/>
        <v>Fresher</v>
      </c>
      <c r="I11" s="65" t="str">
        <f t="shared" si="2"/>
        <v>30000</v>
      </c>
      <c r="J11" s="43">
        <f t="shared" si="3"/>
        <v>9000</v>
      </c>
      <c r="K11" s="13" t="b">
        <f t="shared" si="4"/>
        <v>1</v>
      </c>
      <c r="L11" s="13" t="b">
        <f t="shared" si="5"/>
        <v>0</v>
      </c>
      <c r="M11" s="13" t="str">
        <f t="shared" si="6"/>
        <v>NO BONUS</v>
      </c>
      <c r="N11" s="13" t="str">
        <f t="shared" si="7"/>
        <v>GET BONUS</v>
      </c>
      <c r="Q11" s="60" t="s">
        <v>302</v>
      </c>
      <c r="R11" s="13">
        <v>3</v>
      </c>
      <c r="S11" s="61" t="str">
        <f t="shared" si="8"/>
        <v>NULL</v>
      </c>
      <c r="U11" s="63" t="s">
        <v>7</v>
      </c>
      <c r="V11" s="42" t="s">
        <v>305</v>
      </c>
      <c r="W11" s="63">
        <f>COUNTIFS(E6:E378,U11,B6:B378,V11)</f>
        <v>174</v>
      </c>
    </row>
    <row r="12" spans="1:23" ht="15.75" thickBot="1" x14ac:dyDescent="0.3">
      <c r="A12" s="13">
        <v>7</v>
      </c>
      <c r="B12" s="13">
        <v>26</v>
      </c>
      <c r="C12" s="13" t="str">
        <f t="shared" si="0"/>
        <v>Adult</v>
      </c>
      <c r="D12" s="13" t="s">
        <v>9</v>
      </c>
      <c r="E12" s="13" t="s">
        <v>7</v>
      </c>
      <c r="F12" s="13" t="s">
        <v>19</v>
      </c>
      <c r="G12" s="13">
        <v>1</v>
      </c>
      <c r="H12" s="13" t="str">
        <f t="shared" si="1"/>
        <v>Fresher</v>
      </c>
      <c r="I12" s="65" t="str">
        <f t="shared" si="2"/>
        <v>20000</v>
      </c>
      <c r="J12" s="43">
        <f t="shared" si="3"/>
        <v>6000</v>
      </c>
      <c r="K12" s="13" t="b">
        <f t="shared" si="4"/>
        <v>1</v>
      </c>
      <c r="L12" s="13" t="b">
        <f t="shared" si="5"/>
        <v>0</v>
      </c>
      <c r="M12" s="13" t="str">
        <f t="shared" si="6"/>
        <v>NO BONUS</v>
      </c>
      <c r="N12" s="13" t="str">
        <f t="shared" si="7"/>
        <v>NO BONUS</v>
      </c>
      <c r="U12" s="42" t="s">
        <v>198</v>
      </c>
      <c r="V12" s="42" t="s">
        <v>189</v>
      </c>
      <c r="W12" s="42">
        <f>COUNTIFS(C6:C378,U12,H6:H378,V12)</f>
        <v>0</v>
      </c>
    </row>
    <row r="13" spans="1:23" ht="15.75" thickBot="1" x14ac:dyDescent="0.3">
      <c r="A13" s="13">
        <v>8</v>
      </c>
      <c r="B13" s="13">
        <v>26</v>
      </c>
      <c r="C13" s="13" t="str">
        <f t="shared" si="0"/>
        <v>Adult</v>
      </c>
      <c r="D13" s="13" t="s">
        <v>9</v>
      </c>
      <c r="E13" s="13" t="s">
        <v>7</v>
      </c>
      <c r="F13" s="13" t="s">
        <v>48</v>
      </c>
      <c r="G13" s="13">
        <v>1</v>
      </c>
      <c r="H13" s="13" t="str">
        <f t="shared" si="1"/>
        <v>Fresher</v>
      </c>
      <c r="I13" s="65" t="str">
        <f t="shared" si="2"/>
        <v>20000</v>
      </c>
      <c r="J13" s="43">
        <f t="shared" si="3"/>
        <v>6000</v>
      </c>
      <c r="K13" s="13" t="b">
        <f t="shared" si="4"/>
        <v>1</v>
      </c>
      <c r="L13" s="13" t="b">
        <f t="shared" si="5"/>
        <v>0</v>
      </c>
      <c r="M13" s="13" t="str">
        <f t="shared" si="6"/>
        <v>NO BONUS</v>
      </c>
      <c r="N13" s="13" t="str">
        <f t="shared" si="7"/>
        <v>NO BONUS</v>
      </c>
      <c r="Q13" s="67" t="s">
        <v>309</v>
      </c>
      <c r="R13" s="68"/>
    </row>
    <row r="14" spans="1:23" ht="15.75" x14ac:dyDescent="0.25">
      <c r="A14" s="13">
        <v>9</v>
      </c>
      <c r="B14" s="13">
        <v>26</v>
      </c>
      <c r="C14" s="13" t="str">
        <f t="shared" si="0"/>
        <v>Adult</v>
      </c>
      <c r="D14" s="13" t="s">
        <v>6</v>
      </c>
      <c r="E14" s="13" t="s">
        <v>7</v>
      </c>
      <c r="F14" s="13" t="s">
        <v>68</v>
      </c>
      <c r="G14" s="13">
        <v>1</v>
      </c>
      <c r="H14" s="13" t="str">
        <f t="shared" si="1"/>
        <v>Fresher</v>
      </c>
      <c r="I14" s="65" t="str">
        <f t="shared" si="2"/>
        <v>20000</v>
      </c>
      <c r="J14" s="43">
        <f t="shared" si="3"/>
        <v>6000</v>
      </c>
      <c r="K14" s="13" t="b">
        <f t="shared" si="4"/>
        <v>1</v>
      </c>
      <c r="L14" s="13" t="b">
        <f t="shared" si="5"/>
        <v>0</v>
      </c>
      <c r="M14" s="13" t="str">
        <f t="shared" si="6"/>
        <v>NO BONUS</v>
      </c>
      <c r="N14" s="13" t="str">
        <f t="shared" si="7"/>
        <v>NO BONUS</v>
      </c>
      <c r="Q14" s="56"/>
      <c r="R14" s="88" t="s">
        <v>311</v>
      </c>
    </row>
    <row r="15" spans="1:23" x14ac:dyDescent="0.25">
      <c r="A15" s="13">
        <v>10</v>
      </c>
      <c r="B15" s="13">
        <v>26</v>
      </c>
      <c r="C15" s="13" t="str">
        <f t="shared" si="0"/>
        <v>Adult</v>
      </c>
      <c r="D15" s="13" t="s">
        <v>6</v>
      </c>
      <c r="E15" s="13" t="s">
        <v>7</v>
      </c>
      <c r="F15" s="13" t="s">
        <v>93</v>
      </c>
      <c r="G15" s="13">
        <v>1</v>
      </c>
      <c r="H15" s="13" t="str">
        <f t="shared" si="1"/>
        <v>Fresher</v>
      </c>
      <c r="I15" s="65" t="str">
        <f t="shared" si="2"/>
        <v>20000</v>
      </c>
      <c r="J15" s="43">
        <f t="shared" si="3"/>
        <v>6000</v>
      </c>
      <c r="K15" s="13" t="b">
        <f t="shared" si="4"/>
        <v>1</v>
      </c>
      <c r="L15" s="13" t="b">
        <f t="shared" si="5"/>
        <v>0</v>
      </c>
      <c r="M15" s="13" t="str">
        <f t="shared" si="6"/>
        <v>NO BONUS</v>
      </c>
      <c r="N15" s="13" t="str">
        <f t="shared" si="7"/>
        <v>NO BONUS</v>
      </c>
      <c r="Q15" s="13" t="s">
        <v>9</v>
      </c>
      <c r="R15" s="13">
        <f>SUMIF(D6:D378,Q15,J6:J378)</f>
        <v>4563000</v>
      </c>
    </row>
    <row r="16" spans="1:23" ht="15.75" thickBot="1" x14ac:dyDescent="0.3">
      <c r="A16" s="13">
        <v>11</v>
      </c>
      <c r="B16" s="13">
        <v>26</v>
      </c>
      <c r="C16" s="13" t="str">
        <f t="shared" si="0"/>
        <v>Adult</v>
      </c>
      <c r="D16" s="13" t="s">
        <v>6</v>
      </c>
      <c r="E16" s="13" t="s">
        <v>7</v>
      </c>
      <c r="F16" s="13" t="s">
        <v>68</v>
      </c>
      <c r="G16" s="13">
        <v>2</v>
      </c>
      <c r="H16" s="13" t="str">
        <f t="shared" si="1"/>
        <v>Fresher</v>
      </c>
      <c r="I16" s="65" t="str">
        <f t="shared" si="2"/>
        <v>30000</v>
      </c>
      <c r="J16" s="43">
        <f t="shared" si="3"/>
        <v>9000</v>
      </c>
      <c r="K16" s="13" t="b">
        <f t="shared" si="4"/>
        <v>1</v>
      </c>
      <c r="L16" s="13" t="b">
        <f t="shared" si="5"/>
        <v>0</v>
      </c>
      <c r="M16" s="13" t="str">
        <f t="shared" si="6"/>
        <v>NO BONUS</v>
      </c>
      <c r="N16" s="13" t="str">
        <f t="shared" si="7"/>
        <v>NO BONUS</v>
      </c>
      <c r="Q16" s="66" t="s">
        <v>6</v>
      </c>
      <c r="R16" s="66">
        <f>SUMIF(D6:D378,Q16,J6:J378)</f>
        <v>5046000</v>
      </c>
    </row>
    <row r="17" spans="1:18" ht="15.75" thickBot="1" x14ac:dyDescent="0.3">
      <c r="A17" s="13">
        <v>12</v>
      </c>
      <c r="B17" s="13">
        <v>26</v>
      </c>
      <c r="C17" s="13" t="str">
        <f t="shared" si="0"/>
        <v>Adult</v>
      </c>
      <c r="D17" s="13" t="s">
        <v>6</v>
      </c>
      <c r="E17" s="13" t="s">
        <v>7</v>
      </c>
      <c r="F17" s="13" t="s">
        <v>134</v>
      </c>
      <c r="G17" s="13">
        <v>2</v>
      </c>
      <c r="H17" s="13" t="str">
        <f t="shared" si="1"/>
        <v>Fresher</v>
      </c>
      <c r="I17" s="65" t="str">
        <f t="shared" si="2"/>
        <v>30000</v>
      </c>
      <c r="J17" s="43">
        <f t="shared" si="3"/>
        <v>9000</v>
      </c>
      <c r="K17" s="13" t="b">
        <f t="shared" si="4"/>
        <v>1</v>
      </c>
      <c r="L17" s="13" t="b">
        <f t="shared" si="5"/>
        <v>0</v>
      </c>
      <c r="M17" s="13" t="str">
        <f t="shared" si="6"/>
        <v>NO BONUS</v>
      </c>
      <c r="N17" s="13" t="str">
        <f t="shared" si="7"/>
        <v>NO BONUS</v>
      </c>
      <c r="P17" s="69"/>
      <c r="Q17" s="70" t="s">
        <v>310</v>
      </c>
      <c r="R17" s="59"/>
    </row>
    <row r="18" spans="1:18" x14ac:dyDescent="0.25">
      <c r="A18" s="13">
        <v>13</v>
      </c>
      <c r="B18" s="13">
        <v>26</v>
      </c>
      <c r="C18" s="13" t="str">
        <f t="shared" si="0"/>
        <v>Adult</v>
      </c>
      <c r="D18" s="13" t="s">
        <v>9</v>
      </c>
      <c r="E18" s="13" t="s">
        <v>10</v>
      </c>
      <c r="F18" s="13" t="s">
        <v>151</v>
      </c>
      <c r="G18" s="13">
        <v>1.5</v>
      </c>
      <c r="H18" s="13" t="str">
        <f t="shared" si="1"/>
        <v>Fresher</v>
      </c>
      <c r="I18" s="65" t="str">
        <f t="shared" si="2"/>
        <v>30000</v>
      </c>
      <c r="J18" s="43">
        <f t="shared" si="3"/>
        <v>9000</v>
      </c>
      <c r="K18" s="13" t="b">
        <f t="shared" si="4"/>
        <v>1</v>
      </c>
      <c r="L18" s="13" t="b">
        <f t="shared" si="5"/>
        <v>0</v>
      </c>
      <c r="M18" s="13" t="str">
        <f t="shared" si="6"/>
        <v>NO BONUS</v>
      </c>
      <c r="N18" s="13" t="str">
        <f t="shared" si="7"/>
        <v>GET BONUS</v>
      </c>
      <c r="P18" s="56" t="s">
        <v>188</v>
      </c>
      <c r="Q18" s="56" t="s">
        <v>6</v>
      </c>
      <c r="R18" s="71">
        <f>SUMIFS(J6:J378,H6:H378,P18,D6:D378,Q18)</f>
        <v>4677000</v>
      </c>
    </row>
    <row r="19" spans="1:18" x14ac:dyDescent="0.25">
      <c r="A19" s="13">
        <v>14</v>
      </c>
      <c r="B19" s="13">
        <v>27</v>
      </c>
      <c r="C19" s="13" t="str">
        <f t="shared" si="0"/>
        <v>Adult</v>
      </c>
      <c r="D19" s="13" t="s">
        <v>6</v>
      </c>
      <c r="E19" s="13" t="s">
        <v>7</v>
      </c>
      <c r="F19" s="13" t="s">
        <v>25</v>
      </c>
      <c r="G19" s="13">
        <v>2</v>
      </c>
      <c r="H19" s="13" t="str">
        <f t="shared" si="1"/>
        <v>Fresher</v>
      </c>
      <c r="I19" s="65" t="str">
        <f t="shared" si="2"/>
        <v>30000</v>
      </c>
      <c r="J19" s="43">
        <f t="shared" si="3"/>
        <v>9000</v>
      </c>
      <c r="K19" s="13" t="b">
        <f t="shared" si="4"/>
        <v>1</v>
      </c>
      <c r="L19" s="13" t="b">
        <f t="shared" si="5"/>
        <v>0</v>
      </c>
      <c r="M19" s="13" t="str">
        <f t="shared" si="6"/>
        <v>NO BONUS</v>
      </c>
      <c r="N19" s="13" t="str">
        <f t="shared" si="7"/>
        <v>NO BONUS</v>
      </c>
      <c r="R19" s="72"/>
    </row>
    <row r="20" spans="1:18" x14ac:dyDescent="0.25">
      <c r="A20" s="13">
        <v>15</v>
      </c>
      <c r="B20" s="13">
        <v>27</v>
      </c>
      <c r="C20" s="13" t="str">
        <f t="shared" si="0"/>
        <v>Adult</v>
      </c>
      <c r="D20" s="13" t="s">
        <v>6</v>
      </c>
      <c r="E20" s="13" t="s">
        <v>7</v>
      </c>
      <c r="F20" s="13" t="s">
        <v>45</v>
      </c>
      <c r="G20" s="13">
        <v>2</v>
      </c>
      <c r="H20" s="13" t="str">
        <f t="shared" si="1"/>
        <v>Fresher</v>
      </c>
      <c r="I20" s="65" t="str">
        <f t="shared" si="2"/>
        <v>30000</v>
      </c>
      <c r="J20" s="43">
        <f t="shared" si="3"/>
        <v>9000</v>
      </c>
      <c r="K20" s="13" t="b">
        <f t="shared" si="4"/>
        <v>1</v>
      </c>
      <c r="L20" s="13" t="b">
        <f t="shared" si="5"/>
        <v>0</v>
      </c>
      <c r="M20" s="13" t="str">
        <f t="shared" si="6"/>
        <v>NO BONUS</v>
      </c>
      <c r="N20" s="13" t="str">
        <f t="shared" si="7"/>
        <v>NO BONUS</v>
      </c>
    </row>
    <row r="21" spans="1:18" x14ac:dyDescent="0.25">
      <c r="A21" s="13">
        <v>16</v>
      </c>
      <c r="B21" s="13">
        <v>27</v>
      </c>
      <c r="C21" s="13" t="str">
        <f t="shared" si="0"/>
        <v>Adult</v>
      </c>
      <c r="D21" s="13" t="s">
        <v>9</v>
      </c>
      <c r="E21" s="13" t="s">
        <v>10</v>
      </c>
      <c r="F21" s="13" t="s">
        <v>64</v>
      </c>
      <c r="G21" s="13">
        <v>2</v>
      </c>
      <c r="H21" s="13" t="str">
        <f t="shared" si="1"/>
        <v>Fresher</v>
      </c>
      <c r="I21" s="65" t="str">
        <f t="shared" si="2"/>
        <v>30000</v>
      </c>
      <c r="J21" s="43">
        <f t="shared" si="3"/>
        <v>9000</v>
      </c>
      <c r="K21" s="13" t="b">
        <f t="shared" si="4"/>
        <v>1</v>
      </c>
      <c r="L21" s="13" t="b">
        <f t="shared" si="5"/>
        <v>0</v>
      </c>
      <c r="M21" s="13" t="str">
        <f t="shared" si="6"/>
        <v>NO BONUS</v>
      </c>
      <c r="N21" s="13" t="str">
        <f t="shared" si="7"/>
        <v>GET BONUS</v>
      </c>
    </row>
    <row r="22" spans="1:18" x14ac:dyDescent="0.25">
      <c r="A22" s="13">
        <v>17</v>
      </c>
      <c r="B22" s="13">
        <v>27</v>
      </c>
      <c r="C22" s="13" t="str">
        <f t="shared" si="0"/>
        <v>Adult</v>
      </c>
      <c r="D22" s="13" t="s">
        <v>6</v>
      </c>
      <c r="E22" s="13" t="s">
        <v>7</v>
      </c>
      <c r="F22" s="13" t="s">
        <v>86</v>
      </c>
      <c r="G22" s="13">
        <v>2</v>
      </c>
      <c r="H22" s="13" t="str">
        <f t="shared" si="1"/>
        <v>Fresher</v>
      </c>
      <c r="I22" s="65" t="str">
        <f t="shared" si="2"/>
        <v>30000</v>
      </c>
      <c r="J22" s="43">
        <f t="shared" si="3"/>
        <v>9000</v>
      </c>
      <c r="K22" s="13" t="b">
        <f t="shared" si="4"/>
        <v>1</v>
      </c>
      <c r="L22" s="13" t="b">
        <f t="shared" si="5"/>
        <v>0</v>
      </c>
      <c r="M22" s="13" t="str">
        <f t="shared" si="6"/>
        <v>NO BONUS</v>
      </c>
      <c r="N22" s="13" t="str">
        <f t="shared" si="7"/>
        <v>NO BONUS</v>
      </c>
    </row>
    <row r="23" spans="1:18" x14ac:dyDescent="0.25">
      <c r="A23" s="13">
        <v>18</v>
      </c>
      <c r="B23" s="13">
        <v>27</v>
      </c>
      <c r="C23" s="13" t="str">
        <f t="shared" si="0"/>
        <v>Adult</v>
      </c>
      <c r="D23" s="13" t="s">
        <v>6</v>
      </c>
      <c r="E23" s="13" t="s">
        <v>7</v>
      </c>
      <c r="F23" s="13" t="s">
        <v>121</v>
      </c>
      <c r="G23" s="13">
        <v>1</v>
      </c>
      <c r="H23" s="13" t="str">
        <f t="shared" si="1"/>
        <v>Fresher</v>
      </c>
      <c r="I23" s="65" t="str">
        <f t="shared" si="2"/>
        <v>20000</v>
      </c>
      <c r="J23" s="43">
        <f t="shared" si="3"/>
        <v>6000</v>
      </c>
      <c r="K23" s="13" t="b">
        <f t="shared" si="4"/>
        <v>1</v>
      </c>
      <c r="L23" s="13" t="b">
        <f t="shared" si="5"/>
        <v>0</v>
      </c>
      <c r="M23" s="13" t="str">
        <f t="shared" si="6"/>
        <v>NO BONUS</v>
      </c>
      <c r="N23" s="13" t="str">
        <f t="shared" si="7"/>
        <v>NO BONUS</v>
      </c>
    </row>
    <row r="24" spans="1:18" x14ac:dyDescent="0.25">
      <c r="A24" s="13">
        <v>19</v>
      </c>
      <c r="B24" s="13">
        <v>27</v>
      </c>
      <c r="C24" s="13" t="str">
        <f t="shared" si="0"/>
        <v>Adult</v>
      </c>
      <c r="D24" s="13" t="s">
        <v>6</v>
      </c>
      <c r="E24" s="13" t="s">
        <v>7</v>
      </c>
      <c r="F24" s="13" t="s">
        <v>145</v>
      </c>
      <c r="G24" s="13">
        <v>1.5</v>
      </c>
      <c r="H24" s="13" t="str">
        <f t="shared" si="1"/>
        <v>Fresher</v>
      </c>
      <c r="I24" s="65" t="str">
        <f t="shared" si="2"/>
        <v>30000</v>
      </c>
      <c r="J24" s="43">
        <f t="shared" si="3"/>
        <v>9000</v>
      </c>
      <c r="K24" s="13" t="b">
        <f t="shared" si="4"/>
        <v>1</v>
      </c>
      <c r="L24" s="13" t="b">
        <f t="shared" si="5"/>
        <v>0</v>
      </c>
      <c r="M24" s="13" t="str">
        <f t="shared" si="6"/>
        <v>NO BONUS</v>
      </c>
      <c r="N24" s="13" t="str">
        <f t="shared" si="7"/>
        <v>NO BONUS</v>
      </c>
    </row>
    <row r="25" spans="1:18" x14ac:dyDescent="0.25">
      <c r="A25" s="13">
        <v>20</v>
      </c>
      <c r="B25" s="13">
        <v>27</v>
      </c>
      <c r="C25" s="13" t="str">
        <f t="shared" si="0"/>
        <v>Adult</v>
      </c>
      <c r="D25" s="13" t="s">
        <v>6</v>
      </c>
      <c r="E25" s="13" t="s">
        <v>7</v>
      </c>
      <c r="F25" s="13" t="s">
        <v>155</v>
      </c>
      <c r="G25" s="13">
        <v>2</v>
      </c>
      <c r="H25" s="13" t="str">
        <f t="shared" si="1"/>
        <v>Fresher</v>
      </c>
      <c r="I25" s="65" t="str">
        <f t="shared" si="2"/>
        <v>30000</v>
      </c>
      <c r="J25" s="43">
        <f t="shared" si="3"/>
        <v>9000</v>
      </c>
      <c r="K25" s="13" t="b">
        <f t="shared" si="4"/>
        <v>1</v>
      </c>
      <c r="L25" s="13" t="b">
        <f t="shared" si="5"/>
        <v>0</v>
      </c>
      <c r="M25" s="13" t="str">
        <f t="shared" si="6"/>
        <v>NO BONUS</v>
      </c>
      <c r="N25" s="13" t="str">
        <f t="shared" si="7"/>
        <v>NO BONUS</v>
      </c>
    </row>
    <row r="26" spans="1:18" x14ac:dyDescent="0.25">
      <c r="A26" s="13">
        <v>21</v>
      </c>
      <c r="B26" s="13">
        <v>27</v>
      </c>
      <c r="C26" s="13" t="str">
        <f t="shared" si="0"/>
        <v>Adult</v>
      </c>
      <c r="D26" s="13" t="s">
        <v>9</v>
      </c>
      <c r="E26" s="13" t="s">
        <v>10</v>
      </c>
      <c r="F26" s="13" t="s">
        <v>167</v>
      </c>
      <c r="G26" s="13">
        <v>1.5</v>
      </c>
      <c r="H26" s="13" t="str">
        <f t="shared" si="1"/>
        <v>Fresher</v>
      </c>
      <c r="I26" s="65" t="str">
        <f t="shared" si="2"/>
        <v>30000</v>
      </c>
      <c r="J26" s="43">
        <f t="shared" si="3"/>
        <v>9000</v>
      </c>
      <c r="K26" s="13" t="b">
        <f t="shared" si="4"/>
        <v>1</v>
      </c>
      <c r="L26" s="13" t="b">
        <f t="shared" si="5"/>
        <v>0</v>
      </c>
      <c r="M26" s="13" t="str">
        <f t="shared" si="6"/>
        <v>NO BONUS</v>
      </c>
      <c r="N26" s="13" t="str">
        <f t="shared" si="7"/>
        <v>GET BONUS</v>
      </c>
    </row>
    <row r="27" spans="1:18" x14ac:dyDescent="0.25">
      <c r="A27" s="13">
        <v>22</v>
      </c>
      <c r="B27" s="13">
        <v>27</v>
      </c>
      <c r="C27" s="13" t="str">
        <f t="shared" si="0"/>
        <v>Adult</v>
      </c>
      <c r="D27" s="13" t="s">
        <v>9</v>
      </c>
      <c r="E27" s="13" t="s">
        <v>10</v>
      </c>
      <c r="F27" s="13" t="s">
        <v>176</v>
      </c>
      <c r="G27" s="13">
        <v>1.5</v>
      </c>
      <c r="H27" s="13" t="str">
        <f t="shared" si="1"/>
        <v>Fresher</v>
      </c>
      <c r="I27" s="65" t="str">
        <f t="shared" si="2"/>
        <v>30000</v>
      </c>
      <c r="J27" s="43">
        <f t="shared" si="3"/>
        <v>9000</v>
      </c>
      <c r="K27" s="13" t="b">
        <f t="shared" si="4"/>
        <v>1</v>
      </c>
      <c r="L27" s="13" t="b">
        <f t="shared" si="5"/>
        <v>0</v>
      </c>
      <c r="M27" s="13" t="str">
        <f t="shared" si="6"/>
        <v>NO BONUS</v>
      </c>
      <c r="N27" s="13" t="str">
        <f t="shared" si="7"/>
        <v>GET BONUS</v>
      </c>
    </row>
    <row r="28" spans="1:18" x14ac:dyDescent="0.25">
      <c r="A28" s="13">
        <v>23</v>
      </c>
      <c r="B28" s="13">
        <v>28</v>
      </c>
      <c r="C28" s="13" t="str">
        <f t="shared" si="0"/>
        <v>Adult</v>
      </c>
      <c r="D28" s="13" t="s">
        <v>9</v>
      </c>
      <c r="E28" s="13" t="s">
        <v>10</v>
      </c>
      <c r="F28" s="13" t="s">
        <v>11</v>
      </c>
      <c r="G28" s="13">
        <v>3</v>
      </c>
      <c r="H28" s="13" t="str">
        <f t="shared" si="1"/>
        <v>Fresher</v>
      </c>
      <c r="I28" s="65" t="str">
        <f t="shared" si="2"/>
        <v>30000</v>
      </c>
      <c r="J28" s="43">
        <f t="shared" si="3"/>
        <v>9000</v>
      </c>
      <c r="K28" s="13" t="b">
        <f t="shared" si="4"/>
        <v>1</v>
      </c>
      <c r="L28" s="13" t="b">
        <f t="shared" si="5"/>
        <v>0</v>
      </c>
      <c r="M28" s="13" t="str">
        <f t="shared" si="6"/>
        <v>NO BONUS</v>
      </c>
      <c r="N28" s="13" t="str">
        <f t="shared" si="7"/>
        <v>GET BONUS</v>
      </c>
    </row>
    <row r="29" spans="1:18" x14ac:dyDescent="0.25">
      <c r="A29" s="13">
        <v>24</v>
      </c>
      <c r="B29" s="13">
        <v>28</v>
      </c>
      <c r="C29" s="13" t="str">
        <f t="shared" si="0"/>
        <v>Adult</v>
      </c>
      <c r="D29" s="13" t="s">
        <v>9</v>
      </c>
      <c r="E29" s="13" t="s">
        <v>7</v>
      </c>
      <c r="F29" s="13" t="s">
        <v>36</v>
      </c>
      <c r="G29" s="13">
        <v>3</v>
      </c>
      <c r="H29" s="13" t="str">
        <f t="shared" si="1"/>
        <v>Fresher</v>
      </c>
      <c r="I29" s="65" t="str">
        <f t="shared" si="2"/>
        <v>30000</v>
      </c>
      <c r="J29" s="43">
        <f t="shared" si="3"/>
        <v>9000</v>
      </c>
      <c r="K29" s="13" t="b">
        <f t="shared" si="4"/>
        <v>1</v>
      </c>
      <c r="L29" s="13" t="b">
        <f t="shared" si="5"/>
        <v>0</v>
      </c>
      <c r="M29" s="13" t="str">
        <f t="shared" si="6"/>
        <v>NO BONUS</v>
      </c>
      <c r="N29" s="13" t="str">
        <f t="shared" si="7"/>
        <v>NO BONUS</v>
      </c>
    </row>
    <row r="30" spans="1:18" x14ac:dyDescent="0.25">
      <c r="A30" s="13">
        <v>25</v>
      </c>
      <c r="B30" s="13">
        <v>28</v>
      </c>
      <c r="C30" s="13" t="str">
        <f t="shared" si="0"/>
        <v>Adult</v>
      </c>
      <c r="D30" s="13" t="s">
        <v>9</v>
      </c>
      <c r="E30" s="13" t="s">
        <v>7</v>
      </c>
      <c r="F30" s="13" t="s">
        <v>55</v>
      </c>
      <c r="G30" s="13">
        <v>2</v>
      </c>
      <c r="H30" s="13" t="str">
        <f t="shared" si="1"/>
        <v>Fresher</v>
      </c>
      <c r="I30" s="65" t="str">
        <f t="shared" si="2"/>
        <v>30000</v>
      </c>
      <c r="J30" s="43">
        <f t="shared" si="3"/>
        <v>9000</v>
      </c>
      <c r="K30" s="13" t="b">
        <f t="shared" si="4"/>
        <v>1</v>
      </c>
      <c r="L30" s="13" t="b">
        <f t="shared" si="5"/>
        <v>0</v>
      </c>
      <c r="M30" s="13" t="str">
        <f t="shared" si="6"/>
        <v>NO BONUS</v>
      </c>
      <c r="N30" s="13" t="str">
        <f t="shared" si="7"/>
        <v>NO BONUS</v>
      </c>
    </row>
    <row r="31" spans="1:18" x14ac:dyDescent="0.25">
      <c r="A31" s="13">
        <v>26</v>
      </c>
      <c r="B31" s="13">
        <v>28</v>
      </c>
      <c r="C31" s="13" t="str">
        <f t="shared" si="0"/>
        <v>Adult</v>
      </c>
      <c r="D31" s="13" t="s">
        <v>6</v>
      </c>
      <c r="E31" s="13" t="s">
        <v>7</v>
      </c>
      <c r="F31" s="13" t="s">
        <v>76</v>
      </c>
      <c r="G31" s="13">
        <v>2</v>
      </c>
      <c r="H31" s="13" t="str">
        <f t="shared" si="1"/>
        <v>Fresher</v>
      </c>
      <c r="I31" s="65" t="str">
        <f t="shared" si="2"/>
        <v>30000</v>
      </c>
      <c r="J31" s="43">
        <f t="shared" si="3"/>
        <v>9000</v>
      </c>
      <c r="K31" s="13" t="b">
        <f t="shared" si="4"/>
        <v>1</v>
      </c>
      <c r="L31" s="13" t="b">
        <f t="shared" si="5"/>
        <v>0</v>
      </c>
      <c r="M31" s="13" t="str">
        <f t="shared" si="6"/>
        <v>NO BONUS</v>
      </c>
      <c r="N31" s="13" t="str">
        <f t="shared" si="7"/>
        <v>NO BONUS</v>
      </c>
    </row>
    <row r="32" spans="1:18" x14ac:dyDescent="0.25">
      <c r="A32" s="13">
        <v>27</v>
      </c>
      <c r="B32" s="13">
        <v>28</v>
      </c>
      <c r="C32" s="13" t="str">
        <f t="shared" si="0"/>
        <v>Adult</v>
      </c>
      <c r="D32" s="13" t="s">
        <v>6</v>
      </c>
      <c r="E32" s="13" t="s">
        <v>7</v>
      </c>
      <c r="F32" s="13" t="s">
        <v>104</v>
      </c>
      <c r="G32" s="13">
        <v>2</v>
      </c>
      <c r="H32" s="13" t="str">
        <f t="shared" si="1"/>
        <v>Fresher</v>
      </c>
      <c r="I32" s="65" t="str">
        <f t="shared" si="2"/>
        <v>30000</v>
      </c>
      <c r="J32" s="43">
        <f t="shared" si="3"/>
        <v>9000</v>
      </c>
      <c r="K32" s="13" t="b">
        <f t="shared" si="4"/>
        <v>1</v>
      </c>
      <c r="L32" s="13" t="b">
        <f t="shared" si="5"/>
        <v>0</v>
      </c>
      <c r="M32" s="13" t="str">
        <f t="shared" si="6"/>
        <v>NO BONUS</v>
      </c>
      <c r="N32" s="13" t="str">
        <f t="shared" si="7"/>
        <v>NO BONUS</v>
      </c>
    </row>
    <row r="33" spans="1:14" x14ac:dyDescent="0.25">
      <c r="A33" s="13">
        <v>28</v>
      </c>
      <c r="B33" s="13">
        <v>28</v>
      </c>
      <c r="C33" s="13" t="str">
        <f t="shared" si="0"/>
        <v>Adult</v>
      </c>
      <c r="D33" s="13" t="s">
        <v>6</v>
      </c>
      <c r="E33" s="13" t="s">
        <v>7</v>
      </c>
      <c r="F33" s="13" t="s">
        <v>125</v>
      </c>
      <c r="G33" s="13">
        <v>2</v>
      </c>
      <c r="H33" s="13" t="str">
        <f t="shared" si="1"/>
        <v>Fresher</v>
      </c>
      <c r="I33" s="65" t="str">
        <f t="shared" si="2"/>
        <v>30000</v>
      </c>
      <c r="J33" s="43">
        <f t="shared" si="3"/>
        <v>9000</v>
      </c>
      <c r="K33" s="13" t="b">
        <f t="shared" si="4"/>
        <v>1</v>
      </c>
      <c r="L33" s="13" t="b">
        <f t="shared" si="5"/>
        <v>0</v>
      </c>
      <c r="M33" s="13" t="str">
        <f t="shared" si="6"/>
        <v>NO BONUS</v>
      </c>
      <c r="N33" s="13" t="str">
        <f t="shared" si="7"/>
        <v>NO BONUS</v>
      </c>
    </row>
    <row r="34" spans="1:14" x14ac:dyDescent="0.25">
      <c r="A34" s="13">
        <v>29</v>
      </c>
      <c r="B34" s="13">
        <v>28</v>
      </c>
      <c r="C34" s="13" t="str">
        <f t="shared" si="0"/>
        <v>Adult</v>
      </c>
      <c r="D34" s="13" t="s">
        <v>6</v>
      </c>
      <c r="E34" s="13" t="s">
        <v>7</v>
      </c>
      <c r="F34" s="13" t="s">
        <v>139</v>
      </c>
      <c r="G34" s="13">
        <v>2</v>
      </c>
      <c r="H34" s="13" t="str">
        <f t="shared" si="1"/>
        <v>Fresher</v>
      </c>
      <c r="I34" s="65" t="str">
        <f t="shared" si="2"/>
        <v>30000</v>
      </c>
      <c r="J34" s="43">
        <f t="shared" si="3"/>
        <v>9000</v>
      </c>
      <c r="K34" s="13" t="b">
        <f t="shared" si="4"/>
        <v>1</v>
      </c>
      <c r="L34" s="13" t="b">
        <f t="shared" si="5"/>
        <v>0</v>
      </c>
      <c r="M34" s="13" t="str">
        <f t="shared" si="6"/>
        <v>NO BONUS</v>
      </c>
      <c r="N34" s="13" t="str">
        <f t="shared" si="7"/>
        <v>NO BONUS</v>
      </c>
    </row>
    <row r="35" spans="1:14" x14ac:dyDescent="0.25">
      <c r="A35" s="13">
        <v>30</v>
      </c>
      <c r="B35" s="13">
        <v>28</v>
      </c>
      <c r="C35" s="13" t="str">
        <f t="shared" si="0"/>
        <v>Adult</v>
      </c>
      <c r="D35" s="13" t="s">
        <v>6</v>
      </c>
      <c r="E35" s="13" t="s">
        <v>7</v>
      </c>
      <c r="F35" s="13" t="s">
        <v>114</v>
      </c>
      <c r="G35" s="13">
        <v>1.5</v>
      </c>
      <c r="H35" s="13" t="str">
        <f t="shared" si="1"/>
        <v>Fresher</v>
      </c>
      <c r="I35" s="65" t="str">
        <f t="shared" si="2"/>
        <v>30000</v>
      </c>
      <c r="J35" s="43">
        <f t="shared" si="3"/>
        <v>9000</v>
      </c>
      <c r="K35" s="13" t="b">
        <f t="shared" si="4"/>
        <v>1</v>
      </c>
      <c r="L35" s="13" t="b">
        <f t="shared" si="5"/>
        <v>0</v>
      </c>
      <c r="M35" s="13" t="str">
        <f t="shared" si="6"/>
        <v>NO BONUS</v>
      </c>
      <c r="N35" s="13" t="str">
        <f t="shared" si="7"/>
        <v>NO BONUS</v>
      </c>
    </row>
    <row r="36" spans="1:14" x14ac:dyDescent="0.25">
      <c r="A36" s="13">
        <v>31</v>
      </c>
      <c r="B36" s="13">
        <v>28</v>
      </c>
      <c r="C36" s="13" t="str">
        <f t="shared" si="0"/>
        <v>Adult</v>
      </c>
      <c r="D36" s="13" t="s">
        <v>6</v>
      </c>
      <c r="E36" s="13" t="s">
        <v>7</v>
      </c>
      <c r="F36" s="13" t="s">
        <v>125</v>
      </c>
      <c r="G36" s="13">
        <v>2</v>
      </c>
      <c r="H36" s="13" t="str">
        <f t="shared" si="1"/>
        <v>Fresher</v>
      </c>
      <c r="I36" s="65" t="str">
        <f t="shared" si="2"/>
        <v>30000</v>
      </c>
      <c r="J36" s="43">
        <f t="shared" si="3"/>
        <v>9000</v>
      </c>
      <c r="K36" s="13" t="b">
        <f t="shared" si="4"/>
        <v>1</v>
      </c>
      <c r="L36" s="13" t="b">
        <f t="shared" si="5"/>
        <v>0</v>
      </c>
      <c r="M36" s="13" t="str">
        <f t="shared" si="6"/>
        <v>NO BONUS</v>
      </c>
      <c r="N36" s="13" t="str">
        <f t="shared" si="7"/>
        <v>NO BONUS</v>
      </c>
    </row>
    <row r="37" spans="1:14" x14ac:dyDescent="0.25">
      <c r="A37" s="13">
        <v>32</v>
      </c>
      <c r="B37" s="13">
        <v>28</v>
      </c>
      <c r="C37" s="13" t="str">
        <f t="shared" si="0"/>
        <v>Adult</v>
      </c>
      <c r="D37" s="13" t="s">
        <v>6</v>
      </c>
      <c r="E37" s="13" t="s">
        <v>7</v>
      </c>
      <c r="F37" s="13" t="s">
        <v>145</v>
      </c>
      <c r="G37" s="13">
        <v>2</v>
      </c>
      <c r="H37" s="13" t="str">
        <f t="shared" si="1"/>
        <v>Fresher</v>
      </c>
      <c r="I37" s="65" t="str">
        <f t="shared" si="2"/>
        <v>30000</v>
      </c>
      <c r="J37" s="43">
        <f t="shared" si="3"/>
        <v>9000</v>
      </c>
      <c r="K37" s="13" t="b">
        <f t="shared" si="4"/>
        <v>1</v>
      </c>
      <c r="L37" s="13" t="b">
        <f t="shared" si="5"/>
        <v>0</v>
      </c>
      <c r="M37" s="13" t="str">
        <f t="shared" si="6"/>
        <v>NO BONUS</v>
      </c>
      <c r="N37" s="13" t="str">
        <f t="shared" si="7"/>
        <v>NO BONUS</v>
      </c>
    </row>
    <row r="38" spans="1:14" x14ac:dyDescent="0.25">
      <c r="A38" s="13">
        <v>33</v>
      </c>
      <c r="B38" s="13">
        <v>28</v>
      </c>
      <c r="C38" s="13" t="str">
        <f t="shared" si="0"/>
        <v>Adult</v>
      </c>
      <c r="D38" s="13" t="s">
        <v>6</v>
      </c>
      <c r="E38" s="13" t="s">
        <v>7</v>
      </c>
      <c r="F38" s="13" t="s">
        <v>136</v>
      </c>
      <c r="G38" s="13">
        <v>2</v>
      </c>
      <c r="H38" s="13" t="str">
        <f t="shared" si="1"/>
        <v>Fresher</v>
      </c>
      <c r="I38" s="65" t="str">
        <f t="shared" si="2"/>
        <v>30000</v>
      </c>
      <c r="J38" s="43">
        <f t="shared" si="3"/>
        <v>9000</v>
      </c>
      <c r="K38" s="13" t="b">
        <f t="shared" si="4"/>
        <v>1</v>
      </c>
      <c r="L38" s="13" t="b">
        <f t="shared" si="5"/>
        <v>0</v>
      </c>
      <c r="M38" s="13" t="str">
        <f t="shared" si="6"/>
        <v>NO BONUS</v>
      </c>
      <c r="N38" s="13" t="str">
        <f t="shared" si="7"/>
        <v>NO BONUS</v>
      </c>
    </row>
    <row r="39" spans="1:14" x14ac:dyDescent="0.25">
      <c r="A39" s="13">
        <v>34</v>
      </c>
      <c r="B39" s="13">
        <v>28</v>
      </c>
      <c r="C39" s="13" t="str">
        <f t="shared" si="0"/>
        <v>Adult</v>
      </c>
      <c r="D39" s="13" t="s">
        <v>6</v>
      </c>
      <c r="E39" s="13" t="s">
        <v>7</v>
      </c>
      <c r="F39" s="13" t="s">
        <v>145</v>
      </c>
      <c r="G39" s="13">
        <v>2</v>
      </c>
      <c r="H39" s="13" t="str">
        <f t="shared" si="1"/>
        <v>Fresher</v>
      </c>
      <c r="I39" s="65" t="str">
        <f t="shared" si="2"/>
        <v>30000</v>
      </c>
      <c r="J39" s="43">
        <f t="shared" si="3"/>
        <v>9000</v>
      </c>
      <c r="K39" s="13" t="b">
        <f t="shared" si="4"/>
        <v>1</v>
      </c>
      <c r="L39" s="13" t="b">
        <f t="shared" si="5"/>
        <v>0</v>
      </c>
      <c r="M39" s="13" t="str">
        <f t="shared" si="6"/>
        <v>NO BONUS</v>
      </c>
      <c r="N39" s="13" t="str">
        <f t="shared" si="7"/>
        <v>NO BONUS</v>
      </c>
    </row>
    <row r="40" spans="1:14" x14ac:dyDescent="0.25">
      <c r="A40" s="13">
        <v>35</v>
      </c>
      <c r="B40" s="13">
        <v>28</v>
      </c>
      <c r="C40" s="13" t="str">
        <f t="shared" si="0"/>
        <v>Adult</v>
      </c>
      <c r="D40" s="13" t="s">
        <v>9</v>
      </c>
      <c r="E40" s="13" t="s">
        <v>7</v>
      </c>
      <c r="F40" s="13" t="s">
        <v>174</v>
      </c>
      <c r="G40" s="13">
        <v>1</v>
      </c>
      <c r="H40" s="13" t="str">
        <f t="shared" si="1"/>
        <v>Fresher</v>
      </c>
      <c r="I40" s="65" t="str">
        <f t="shared" si="2"/>
        <v>20000</v>
      </c>
      <c r="J40" s="43">
        <f t="shared" si="3"/>
        <v>6000</v>
      </c>
      <c r="K40" s="13" t="b">
        <f t="shared" si="4"/>
        <v>1</v>
      </c>
      <c r="L40" s="13" t="b">
        <f t="shared" si="5"/>
        <v>0</v>
      </c>
      <c r="M40" s="13" t="str">
        <f t="shared" si="6"/>
        <v>NO BONUS</v>
      </c>
      <c r="N40" s="13" t="str">
        <f t="shared" si="7"/>
        <v>NO BONUS</v>
      </c>
    </row>
    <row r="41" spans="1:14" x14ac:dyDescent="0.25">
      <c r="A41" s="13">
        <v>36</v>
      </c>
      <c r="B41" s="13">
        <v>29</v>
      </c>
      <c r="C41" s="13" t="str">
        <f t="shared" si="0"/>
        <v>Adult</v>
      </c>
      <c r="D41" s="13" t="s">
        <v>6</v>
      </c>
      <c r="E41" s="13" t="s">
        <v>7</v>
      </c>
      <c r="F41" s="13" t="s">
        <v>16</v>
      </c>
      <c r="G41" s="13">
        <v>2</v>
      </c>
      <c r="H41" s="13" t="str">
        <f t="shared" si="1"/>
        <v>Fresher</v>
      </c>
      <c r="I41" s="65" t="str">
        <f t="shared" si="2"/>
        <v>30000</v>
      </c>
      <c r="J41" s="43">
        <f t="shared" si="3"/>
        <v>9000</v>
      </c>
      <c r="K41" s="13" t="b">
        <f t="shared" si="4"/>
        <v>1</v>
      </c>
      <c r="L41" s="13" t="b">
        <f t="shared" si="5"/>
        <v>0</v>
      </c>
      <c r="M41" s="13" t="str">
        <f t="shared" si="6"/>
        <v>NO BONUS</v>
      </c>
      <c r="N41" s="13" t="str">
        <f t="shared" si="7"/>
        <v>NO BONUS</v>
      </c>
    </row>
    <row r="42" spans="1:14" x14ac:dyDescent="0.25">
      <c r="A42" s="13">
        <v>37</v>
      </c>
      <c r="B42" s="13">
        <v>29</v>
      </c>
      <c r="C42" s="13" t="str">
        <f t="shared" si="0"/>
        <v>Adult</v>
      </c>
      <c r="D42" s="13" t="s">
        <v>6</v>
      </c>
      <c r="E42" s="13" t="s">
        <v>10</v>
      </c>
      <c r="F42" s="13" t="s">
        <v>21</v>
      </c>
      <c r="G42" s="13">
        <v>3</v>
      </c>
      <c r="H42" s="13" t="str">
        <f t="shared" si="1"/>
        <v>Fresher</v>
      </c>
      <c r="I42" s="65" t="str">
        <f t="shared" si="2"/>
        <v>30000</v>
      </c>
      <c r="J42" s="43">
        <f t="shared" si="3"/>
        <v>9000</v>
      </c>
      <c r="K42" s="13" t="b">
        <f t="shared" si="4"/>
        <v>1</v>
      </c>
      <c r="L42" s="13" t="b">
        <f t="shared" si="5"/>
        <v>0</v>
      </c>
      <c r="M42" s="13" t="str">
        <f t="shared" si="6"/>
        <v>NO BONUS</v>
      </c>
      <c r="N42" s="13" t="str">
        <f t="shared" si="7"/>
        <v>NO BONUS</v>
      </c>
    </row>
    <row r="43" spans="1:14" x14ac:dyDescent="0.25">
      <c r="A43" s="13">
        <v>38</v>
      </c>
      <c r="B43" s="13">
        <v>29</v>
      </c>
      <c r="C43" s="13" t="str">
        <f t="shared" si="0"/>
        <v>Adult</v>
      </c>
      <c r="D43" s="13" t="s">
        <v>6</v>
      </c>
      <c r="E43" s="13" t="s">
        <v>10</v>
      </c>
      <c r="F43" s="13" t="s">
        <v>43</v>
      </c>
      <c r="G43" s="13">
        <v>3</v>
      </c>
      <c r="H43" s="13" t="str">
        <f t="shared" si="1"/>
        <v>Fresher</v>
      </c>
      <c r="I43" s="65" t="str">
        <f t="shared" si="2"/>
        <v>30000</v>
      </c>
      <c r="J43" s="43">
        <f t="shared" si="3"/>
        <v>9000</v>
      </c>
      <c r="K43" s="13" t="b">
        <f t="shared" si="4"/>
        <v>1</v>
      </c>
      <c r="L43" s="13" t="b">
        <f t="shared" si="5"/>
        <v>0</v>
      </c>
      <c r="M43" s="13" t="str">
        <f t="shared" si="6"/>
        <v>NO BONUS</v>
      </c>
      <c r="N43" s="13" t="str">
        <f t="shared" si="7"/>
        <v>NO BONUS</v>
      </c>
    </row>
    <row r="44" spans="1:14" x14ac:dyDescent="0.25">
      <c r="A44" s="13">
        <v>39</v>
      </c>
      <c r="B44" s="13">
        <v>29</v>
      </c>
      <c r="C44" s="13" t="str">
        <f t="shared" si="0"/>
        <v>Adult</v>
      </c>
      <c r="D44" s="13" t="s">
        <v>9</v>
      </c>
      <c r="E44" s="13" t="s">
        <v>7</v>
      </c>
      <c r="F44" s="13" t="s">
        <v>63</v>
      </c>
      <c r="G44" s="13">
        <v>3</v>
      </c>
      <c r="H44" s="13" t="str">
        <f t="shared" si="1"/>
        <v>Fresher</v>
      </c>
      <c r="I44" s="65" t="str">
        <f t="shared" si="2"/>
        <v>30000</v>
      </c>
      <c r="J44" s="43">
        <f t="shared" si="3"/>
        <v>9000</v>
      </c>
      <c r="K44" s="13" t="b">
        <f t="shared" si="4"/>
        <v>1</v>
      </c>
      <c r="L44" s="13" t="b">
        <f t="shared" si="5"/>
        <v>0</v>
      </c>
      <c r="M44" s="13" t="str">
        <f t="shared" si="6"/>
        <v>NO BONUS</v>
      </c>
      <c r="N44" s="13" t="str">
        <f t="shared" si="7"/>
        <v>NO BONUS</v>
      </c>
    </row>
    <row r="45" spans="1:14" x14ac:dyDescent="0.25">
      <c r="A45" s="13">
        <v>40</v>
      </c>
      <c r="B45" s="13">
        <v>29</v>
      </c>
      <c r="C45" s="13" t="str">
        <f t="shared" si="0"/>
        <v>Adult</v>
      </c>
      <c r="D45" s="13" t="s">
        <v>6</v>
      </c>
      <c r="E45" s="13" t="s">
        <v>7</v>
      </c>
      <c r="F45" s="13" t="s">
        <v>16</v>
      </c>
      <c r="G45" s="13">
        <v>3</v>
      </c>
      <c r="H45" s="13" t="str">
        <f t="shared" si="1"/>
        <v>Fresher</v>
      </c>
      <c r="I45" s="65" t="str">
        <f t="shared" si="2"/>
        <v>30000</v>
      </c>
      <c r="J45" s="43">
        <f t="shared" si="3"/>
        <v>9000</v>
      </c>
      <c r="K45" s="13" t="b">
        <f t="shared" si="4"/>
        <v>1</v>
      </c>
      <c r="L45" s="13" t="b">
        <f t="shared" si="5"/>
        <v>0</v>
      </c>
      <c r="M45" s="13" t="str">
        <f t="shared" si="6"/>
        <v>NO BONUS</v>
      </c>
      <c r="N45" s="13" t="str">
        <f t="shared" si="7"/>
        <v>NO BONUS</v>
      </c>
    </row>
    <row r="46" spans="1:14" x14ac:dyDescent="0.25">
      <c r="A46" s="13">
        <v>41</v>
      </c>
      <c r="B46" s="13">
        <v>29</v>
      </c>
      <c r="C46" s="13" t="str">
        <f t="shared" si="0"/>
        <v>Adult</v>
      </c>
      <c r="D46" s="13" t="s">
        <v>9</v>
      </c>
      <c r="E46" s="13" t="s">
        <v>7</v>
      </c>
      <c r="F46" s="13" t="s">
        <v>84</v>
      </c>
      <c r="G46" s="13">
        <v>2</v>
      </c>
      <c r="H46" s="13" t="str">
        <f t="shared" si="1"/>
        <v>Fresher</v>
      </c>
      <c r="I46" s="65" t="str">
        <f t="shared" si="2"/>
        <v>30000</v>
      </c>
      <c r="J46" s="43">
        <f t="shared" si="3"/>
        <v>9000</v>
      </c>
      <c r="K46" s="13" t="b">
        <f t="shared" si="4"/>
        <v>1</v>
      </c>
      <c r="L46" s="13" t="b">
        <f t="shared" si="5"/>
        <v>0</v>
      </c>
      <c r="M46" s="13" t="str">
        <f t="shared" si="6"/>
        <v>NO BONUS</v>
      </c>
      <c r="N46" s="13" t="str">
        <f t="shared" si="7"/>
        <v>NO BONUS</v>
      </c>
    </row>
    <row r="47" spans="1:14" x14ac:dyDescent="0.25">
      <c r="A47" s="13">
        <v>42</v>
      </c>
      <c r="B47" s="13">
        <v>29</v>
      </c>
      <c r="C47" s="13" t="str">
        <f t="shared" si="0"/>
        <v>Adult</v>
      </c>
      <c r="D47" s="13" t="s">
        <v>9</v>
      </c>
      <c r="E47" s="13" t="s">
        <v>7</v>
      </c>
      <c r="F47" s="13" t="s">
        <v>14</v>
      </c>
      <c r="G47" s="13">
        <v>3</v>
      </c>
      <c r="H47" s="13" t="str">
        <f t="shared" si="1"/>
        <v>Fresher</v>
      </c>
      <c r="I47" s="65" t="str">
        <f t="shared" si="2"/>
        <v>30000</v>
      </c>
      <c r="J47" s="43">
        <f t="shared" si="3"/>
        <v>9000</v>
      </c>
      <c r="K47" s="13" t="b">
        <f t="shared" si="4"/>
        <v>1</v>
      </c>
      <c r="L47" s="13" t="b">
        <f t="shared" si="5"/>
        <v>0</v>
      </c>
      <c r="M47" s="13" t="str">
        <f t="shared" si="6"/>
        <v>NO BONUS</v>
      </c>
      <c r="N47" s="13" t="str">
        <f t="shared" si="7"/>
        <v>NO BONUS</v>
      </c>
    </row>
    <row r="48" spans="1:14" x14ac:dyDescent="0.25">
      <c r="A48" s="13">
        <v>43</v>
      </c>
      <c r="B48" s="13">
        <v>29</v>
      </c>
      <c r="C48" s="13" t="str">
        <f t="shared" si="0"/>
        <v>Adult</v>
      </c>
      <c r="D48" s="13" t="s">
        <v>9</v>
      </c>
      <c r="E48" s="13" t="s">
        <v>7</v>
      </c>
      <c r="F48" s="13" t="s">
        <v>112</v>
      </c>
      <c r="G48" s="13">
        <v>3</v>
      </c>
      <c r="H48" s="13" t="str">
        <f t="shared" si="1"/>
        <v>Fresher</v>
      </c>
      <c r="I48" s="65" t="str">
        <f t="shared" si="2"/>
        <v>30000</v>
      </c>
      <c r="J48" s="43">
        <f t="shared" si="3"/>
        <v>9000</v>
      </c>
      <c r="K48" s="13" t="b">
        <f t="shared" si="4"/>
        <v>1</v>
      </c>
      <c r="L48" s="13" t="b">
        <f t="shared" si="5"/>
        <v>0</v>
      </c>
      <c r="M48" s="13" t="str">
        <f t="shared" si="6"/>
        <v>NO BONUS</v>
      </c>
      <c r="N48" s="13" t="str">
        <f t="shared" si="7"/>
        <v>NO BONUS</v>
      </c>
    </row>
    <row r="49" spans="1:14" x14ac:dyDescent="0.25">
      <c r="A49" s="13">
        <v>44</v>
      </c>
      <c r="B49" s="13">
        <v>29</v>
      </c>
      <c r="C49" s="13" t="str">
        <f t="shared" si="0"/>
        <v>Adult</v>
      </c>
      <c r="D49" s="13" t="s">
        <v>6</v>
      </c>
      <c r="E49" s="13" t="s">
        <v>7</v>
      </c>
      <c r="F49" s="13" t="s">
        <v>118</v>
      </c>
      <c r="G49" s="13">
        <v>3</v>
      </c>
      <c r="H49" s="13" t="str">
        <f t="shared" si="1"/>
        <v>Fresher</v>
      </c>
      <c r="I49" s="65" t="str">
        <f t="shared" si="2"/>
        <v>30000</v>
      </c>
      <c r="J49" s="43">
        <f t="shared" si="3"/>
        <v>9000</v>
      </c>
      <c r="K49" s="13" t="b">
        <f t="shared" si="4"/>
        <v>1</v>
      </c>
      <c r="L49" s="13" t="b">
        <f t="shared" si="5"/>
        <v>0</v>
      </c>
      <c r="M49" s="13" t="str">
        <f t="shared" si="6"/>
        <v>NO BONUS</v>
      </c>
      <c r="N49" s="13" t="str">
        <f t="shared" si="7"/>
        <v>NO BONUS</v>
      </c>
    </row>
    <row r="50" spans="1:14" x14ac:dyDescent="0.25">
      <c r="A50" s="13">
        <v>45</v>
      </c>
      <c r="B50" s="13">
        <v>29</v>
      </c>
      <c r="C50" s="13" t="str">
        <f t="shared" si="0"/>
        <v>Adult</v>
      </c>
      <c r="D50" s="13" t="s">
        <v>9</v>
      </c>
      <c r="E50" s="13" t="s">
        <v>7</v>
      </c>
      <c r="F50" s="13" t="s">
        <v>131</v>
      </c>
      <c r="G50" s="13">
        <v>3</v>
      </c>
      <c r="H50" s="13" t="str">
        <f t="shared" si="1"/>
        <v>Fresher</v>
      </c>
      <c r="I50" s="65" t="str">
        <f t="shared" si="2"/>
        <v>30000</v>
      </c>
      <c r="J50" s="43">
        <f t="shared" si="3"/>
        <v>9000</v>
      </c>
      <c r="K50" s="13" t="b">
        <f t="shared" si="4"/>
        <v>1</v>
      </c>
      <c r="L50" s="13" t="b">
        <f t="shared" si="5"/>
        <v>0</v>
      </c>
      <c r="M50" s="13" t="str">
        <f t="shared" si="6"/>
        <v>NO BONUS</v>
      </c>
      <c r="N50" s="13" t="str">
        <f t="shared" si="7"/>
        <v>NO BONUS</v>
      </c>
    </row>
    <row r="51" spans="1:14" x14ac:dyDescent="0.25">
      <c r="A51" s="13">
        <v>46</v>
      </c>
      <c r="B51" s="13">
        <v>29</v>
      </c>
      <c r="C51" s="13" t="str">
        <f t="shared" si="0"/>
        <v>Adult</v>
      </c>
      <c r="D51" s="13" t="s">
        <v>6</v>
      </c>
      <c r="E51" s="13" t="s">
        <v>7</v>
      </c>
      <c r="F51" s="13" t="s">
        <v>150</v>
      </c>
      <c r="G51" s="13">
        <v>2</v>
      </c>
      <c r="H51" s="13" t="str">
        <f t="shared" si="1"/>
        <v>Fresher</v>
      </c>
      <c r="I51" s="65" t="str">
        <f t="shared" si="2"/>
        <v>30000</v>
      </c>
      <c r="J51" s="43">
        <f t="shared" si="3"/>
        <v>9000</v>
      </c>
      <c r="K51" s="13" t="b">
        <f t="shared" si="4"/>
        <v>1</v>
      </c>
      <c r="L51" s="13" t="b">
        <f t="shared" si="5"/>
        <v>0</v>
      </c>
      <c r="M51" s="13" t="str">
        <f t="shared" si="6"/>
        <v>NO BONUS</v>
      </c>
      <c r="N51" s="13" t="str">
        <f t="shared" si="7"/>
        <v>NO BONUS</v>
      </c>
    </row>
    <row r="52" spans="1:14" x14ac:dyDescent="0.25">
      <c r="A52" s="13">
        <v>47</v>
      </c>
      <c r="B52" s="13">
        <v>29</v>
      </c>
      <c r="C52" s="13" t="str">
        <f t="shared" si="0"/>
        <v>Adult</v>
      </c>
      <c r="D52" s="13" t="s">
        <v>9</v>
      </c>
      <c r="E52" s="13" t="s">
        <v>7</v>
      </c>
      <c r="F52" s="13" t="s">
        <v>121</v>
      </c>
      <c r="G52" s="13">
        <v>2</v>
      </c>
      <c r="H52" s="13" t="str">
        <f t="shared" si="1"/>
        <v>Fresher</v>
      </c>
      <c r="I52" s="65" t="str">
        <f t="shared" si="2"/>
        <v>30000</v>
      </c>
      <c r="J52" s="43">
        <f t="shared" si="3"/>
        <v>9000</v>
      </c>
      <c r="K52" s="13" t="b">
        <f t="shared" si="4"/>
        <v>1</v>
      </c>
      <c r="L52" s="13" t="b">
        <f t="shared" si="5"/>
        <v>0</v>
      </c>
      <c r="M52" s="13" t="str">
        <f t="shared" si="6"/>
        <v>NO BONUS</v>
      </c>
      <c r="N52" s="13" t="str">
        <f t="shared" si="7"/>
        <v>NO BONUS</v>
      </c>
    </row>
    <row r="53" spans="1:14" x14ac:dyDescent="0.25">
      <c r="A53" s="13">
        <v>48</v>
      </c>
      <c r="B53" s="13">
        <v>29</v>
      </c>
      <c r="C53" s="13" t="str">
        <f t="shared" si="0"/>
        <v>Adult</v>
      </c>
      <c r="D53" s="13" t="s">
        <v>6</v>
      </c>
      <c r="E53" s="13" t="s">
        <v>7</v>
      </c>
      <c r="F53" s="13" t="s">
        <v>171</v>
      </c>
      <c r="G53" s="13">
        <v>1.5</v>
      </c>
      <c r="H53" s="13" t="str">
        <f t="shared" si="1"/>
        <v>Fresher</v>
      </c>
      <c r="I53" s="65" t="str">
        <f t="shared" si="2"/>
        <v>30000</v>
      </c>
      <c r="J53" s="43">
        <f t="shared" si="3"/>
        <v>9000</v>
      </c>
      <c r="K53" s="13" t="b">
        <f t="shared" si="4"/>
        <v>1</v>
      </c>
      <c r="L53" s="13" t="b">
        <f t="shared" si="5"/>
        <v>0</v>
      </c>
      <c r="M53" s="13" t="str">
        <f t="shared" si="6"/>
        <v>NO BONUS</v>
      </c>
      <c r="N53" s="13" t="str">
        <f t="shared" si="7"/>
        <v>NO BONUS</v>
      </c>
    </row>
    <row r="54" spans="1:14" x14ac:dyDescent="0.25">
      <c r="A54" s="13">
        <v>49</v>
      </c>
      <c r="B54" s="13">
        <v>29</v>
      </c>
      <c r="C54" s="13" t="str">
        <f t="shared" si="0"/>
        <v>Adult</v>
      </c>
      <c r="D54" s="13" t="s">
        <v>6</v>
      </c>
      <c r="E54" s="13" t="s">
        <v>7</v>
      </c>
      <c r="F54" s="13" t="s">
        <v>125</v>
      </c>
      <c r="G54" s="13">
        <v>1.5</v>
      </c>
      <c r="H54" s="13" t="str">
        <f t="shared" si="1"/>
        <v>Fresher</v>
      </c>
      <c r="I54" s="65" t="str">
        <f t="shared" si="2"/>
        <v>30000</v>
      </c>
      <c r="J54" s="43">
        <f t="shared" si="3"/>
        <v>9000</v>
      </c>
      <c r="K54" s="13" t="b">
        <f t="shared" si="4"/>
        <v>1</v>
      </c>
      <c r="L54" s="13" t="b">
        <f t="shared" si="5"/>
        <v>0</v>
      </c>
      <c r="M54" s="13" t="str">
        <f t="shared" si="6"/>
        <v>NO BONUS</v>
      </c>
      <c r="N54" s="13" t="str">
        <f t="shared" si="7"/>
        <v>NO BONUS</v>
      </c>
    </row>
    <row r="55" spans="1:14" x14ac:dyDescent="0.25">
      <c r="A55" s="13">
        <v>50</v>
      </c>
      <c r="B55" s="13">
        <v>29</v>
      </c>
      <c r="C55" s="13" t="str">
        <f t="shared" si="0"/>
        <v>Adult</v>
      </c>
      <c r="D55" s="13" t="s">
        <v>6</v>
      </c>
      <c r="E55" s="13" t="s">
        <v>7</v>
      </c>
      <c r="F55" s="13" t="s">
        <v>171</v>
      </c>
      <c r="G55" s="13">
        <v>1.5</v>
      </c>
      <c r="H55" s="13" t="str">
        <f t="shared" si="1"/>
        <v>Fresher</v>
      </c>
      <c r="I55" s="65" t="str">
        <f t="shared" si="2"/>
        <v>30000</v>
      </c>
      <c r="J55" s="43">
        <f t="shared" si="3"/>
        <v>9000</v>
      </c>
      <c r="K55" s="13" t="b">
        <f t="shared" si="4"/>
        <v>1</v>
      </c>
      <c r="L55" s="13" t="b">
        <f t="shared" si="5"/>
        <v>0</v>
      </c>
      <c r="M55" s="13" t="str">
        <f t="shared" si="6"/>
        <v>NO BONUS</v>
      </c>
      <c r="N55" s="13" t="str">
        <f t="shared" si="7"/>
        <v>NO BONUS</v>
      </c>
    </row>
    <row r="56" spans="1:14" x14ac:dyDescent="0.25">
      <c r="A56" s="13">
        <v>51</v>
      </c>
      <c r="B56" s="13">
        <v>29</v>
      </c>
      <c r="C56" s="13" t="str">
        <f t="shared" si="0"/>
        <v>Adult</v>
      </c>
      <c r="D56" s="13" t="s">
        <v>9</v>
      </c>
      <c r="E56" s="13" t="s">
        <v>7</v>
      </c>
      <c r="F56" s="13" t="s">
        <v>121</v>
      </c>
      <c r="G56" s="13">
        <v>1.5</v>
      </c>
      <c r="H56" s="13" t="str">
        <f t="shared" si="1"/>
        <v>Fresher</v>
      </c>
      <c r="I56" s="65" t="str">
        <f t="shared" si="2"/>
        <v>30000</v>
      </c>
      <c r="J56" s="43">
        <f t="shared" si="3"/>
        <v>9000</v>
      </c>
      <c r="K56" s="13" t="b">
        <f t="shared" si="4"/>
        <v>1</v>
      </c>
      <c r="L56" s="13" t="b">
        <f t="shared" si="5"/>
        <v>0</v>
      </c>
      <c r="M56" s="13" t="str">
        <f t="shared" si="6"/>
        <v>NO BONUS</v>
      </c>
      <c r="N56" s="13" t="str">
        <f t="shared" si="7"/>
        <v>NO BONUS</v>
      </c>
    </row>
    <row r="57" spans="1:14" x14ac:dyDescent="0.25">
      <c r="A57" s="13">
        <v>52</v>
      </c>
      <c r="B57" s="13">
        <v>29</v>
      </c>
      <c r="C57" s="13" t="str">
        <f t="shared" si="0"/>
        <v>Adult</v>
      </c>
      <c r="D57" s="13" t="s">
        <v>9</v>
      </c>
      <c r="E57" s="13" t="s">
        <v>7</v>
      </c>
      <c r="F57" s="13" t="s">
        <v>145</v>
      </c>
      <c r="G57" s="13">
        <v>1.5</v>
      </c>
      <c r="H57" s="13" t="str">
        <f t="shared" si="1"/>
        <v>Fresher</v>
      </c>
      <c r="I57" s="65" t="str">
        <f t="shared" si="2"/>
        <v>30000</v>
      </c>
      <c r="J57" s="43">
        <f t="shared" si="3"/>
        <v>9000</v>
      </c>
      <c r="K57" s="13" t="b">
        <f t="shared" si="4"/>
        <v>1</v>
      </c>
      <c r="L57" s="13" t="b">
        <f t="shared" si="5"/>
        <v>0</v>
      </c>
      <c r="M57" s="13" t="str">
        <f t="shared" si="6"/>
        <v>NO BONUS</v>
      </c>
      <c r="N57" s="13" t="str">
        <f t="shared" si="7"/>
        <v>NO BONUS</v>
      </c>
    </row>
    <row r="58" spans="1:14" x14ac:dyDescent="0.25">
      <c r="A58" s="13">
        <v>53</v>
      </c>
      <c r="B58" s="13">
        <v>29</v>
      </c>
      <c r="C58" s="13" t="str">
        <f t="shared" si="0"/>
        <v>Adult</v>
      </c>
      <c r="D58" s="13" t="s">
        <v>9</v>
      </c>
      <c r="E58" s="13" t="s">
        <v>7</v>
      </c>
      <c r="F58" s="13" t="s">
        <v>127</v>
      </c>
      <c r="G58" s="13">
        <v>2</v>
      </c>
      <c r="H58" s="13" t="str">
        <f t="shared" si="1"/>
        <v>Fresher</v>
      </c>
      <c r="I58" s="65" t="str">
        <f t="shared" si="2"/>
        <v>30000</v>
      </c>
      <c r="J58" s="43">
        <f t="shared" si="3"/>
        <v>9000</v>
      </c>
      <c r="K58" s="13" t="b">
        <f t="shared" si="4"/>
        <v>1</v>
      </c>
      <c r="L58" s="13" t="b">
        <f t="shared" si="5"/>
        <v>0</v>
      </c>
      <c r="M58" s="13" t="str">
        <f t="shared" si="6"/>
        <v>NO BONUS</v>
      </c>
      <c r="N58" s="13" t="str">
        <f t="shared" si="7"/>
        <v>NO BONUS</v>
      </c>
    </row>
    <row r="59" spans="1:14" x14ac:dyDescent="0.25">
      <c r="A59" s="13">
        <v>54</v>
      </c>
      <c r="B59" s="13">
        <v>29</v>
      </c>
      <c r="C59" s="13" t="str">
        <f t="shared" si="0"/>
        <v>Adult</v>
      </c>
      <c r="D59" s="13" t="s">
        <v>9</v>
      </c>
      <c r="E59" s="13" t="s">
        <v>7</v>
      </c>
      <c r="F59" s="13" t="s">
        <v>145</v>
      </c>
      <c r="G59" s="13">
        <v>1.5</v>
      </c>
      <c r="H59" s="13" t="str">
        <f t="shared" si="1"/>
        <v>Fresher</v>
      </c>
      <c r="I59" s="65" t="str">
        <f t="shared" si="2"/>
        <v>30000</v>
      </c>
      <c r="J59" s="43">
        <f t="shared" si="3"/>
        <v>9000</v>
      </c>
      <c r="K59" s="13" t="b">
        <f t="shared" si="4"/>
        <v>1</v>
      </c>
      <c r="L59" s="13" t="b">
        <f t="shared" si="5"/>
        <v>0</v>
      </c>
      <c r="M59" s="13" t="str">
        <f t="shared" si="6"/>
        <v>NO BONUS</v>
      </c>
      <c r="N59" s="13" t="str">
        <f t="shared" si="7"/>
        <v>NO BONUS</v>
      </c>
    </row>
    <row r="60" spans="1:14" x14ac:dyDescent="0.25">
      <c r="A60" s="13">
        <v>55</v>
      </c>
      <c r="B60" s="13">
        <v>29</v>
      </c>
      <c r="C60" s="13" t="str">
        <f t="shared" si="0"/>
        <v>Adult</v>
      </c>
      <c r="D60" s="13" t="s">
        <v>9</v>
      </c>
      <c r="E60" s="13" t="s">
        <v>7</v>
      </c>
      <c r="F60" s="13" t="s">
        <v>109</v>
      </c>
      <c r="G60" s="13">
        <v>2</v>
      </c>
      <c r="H60" s="13" t="str">
        <f t="shared" si="1"/>
        <v>Fresher</v>
      </c>
      <c r="I60" s="65" t="str">
        <f t="shared" si="2"/>
        <v>30000</v>
      </c>
      <c r="J60" s="43">
        <f t="shared" si="3"/>
        <v>9000</v>
      </c>
      <c r="K60" s="13" t="b">
        <f t="shared" si="4"/>
        <v>1</v>
      </c>
      <c r="L60" s="13" t="b">
        <f t="shared" si="5"/>
        <v>0</v>
      </c>
      <c r="M60" s="13" t="str">
        <f t="shared" si="6"/>
        <v>NO BONUS</v>
      </c>
      <c r="N60" s="13" t="str">
        <f t="shared" si="7"/>
        <v>NO BONUS</v>
      </c>
    </row>
    <row r="61" spans="1:14" x14ac:dyDescent="0.25">
      <c r="A61" s="13">
        <v>56</v>
      </c>
      <c r="B61" s="13">
        <v>29</v>
      </c>
      <c r="C61" s="13" t="str">
        <f t="shared" si="0"/>
        <v>Adult</v>
      </c>
      <c r="D61" s="13" t="s">
        <v>9</v>
      </c>
      <c r="E61" s="13" t="s">
        <v>7</v>
      </c>
      <c r="F61" s="13" t="s">
        <v>128</v>
      </c>
      <c r="G61" s="13">
        <v>2</v>
      </c>
      <c r="H61" s="13" t="str">
        <f t="shared" si="1"/>
        <v>Fresher</v>
      </c>
      <c r="I61" s="65" t="str">
        <f t="shared" si="2"/>
        <v>30000</v>
      </c>
      <c r="J61" s="43">
        <f t="shared" si="3"/>
        <v>9000</v>
      </c>
      <c r="K61" s="13" t="b">
        <f t="shared" si="4"/>
        <v>1</v>
      </c>
      <c r="L61" s="13" t="b">
        <f t="shared" si="5"/>
        <v>0</v>
      </c>
      <c r="M61" s="13" t="str">
        <f t="shared" si="6"/>
        <v>NO BONUS</v>
      </c>
      <c r="N61" s="13" t="str">
        <f t="shared" si="7"/>
        <v>NO BONUS</v>
      </c>
    </row>
    <row r="62" spans="1:14" x14ac:dyDescent="0.25">
      <c r="A62" s="13">
        <v>57</v>
      </c>
      <c r="B62" s="13">
        <v>29</v>
      </c>
      <c r="C62" s="13" t="str">
        <f t="shared" si="0"/>
        <v>Adult</v>
      </c>
      <c r="D62" s="13" t="s">
        <v>9</v>
      </c>
      <c r="E62" s="13" t="s">
        <v>7</v>
      </c>
      <c r="F62" s="13" t="s">
        <v>128</v>
      </c>
      <c r="G62" s="13">
        <v>2</v>
      </c>
      <c r="H62" s="13" t="str">
        <f t="shared" si="1"/>
        <v>Fresher</v>
      </c>
      <c r="I62" s="65" t="str">
        <f t="shared" si="2"/>
        <v>30000</v>
      </c>
      <c r="J62" s="43">
        <f t="shared" si="3"/>
        <v>9000</v>
      </c>
      <c r="K62" s="13" t="b">
        <f t="shared" si="4"/>
        <v>1</v>
      </c>
      <c r="L62" s="13" t="b">
        <f t="shared" si="5"/>
        <v>0</v>
      </c>
      <c r="M62" s="13" t="str">
        <f t="shared" si="6"/>
        <v>NO BONUS</v>
      </c>
      <c r="N62" s="13" t="str">
        <f t="shared" si="7"/>
        <v>NO BONUS</v>
      </c>
    </row>
    <row r="63" spans="1:14" x14ac:dyDescent="0.25">
      <c r="A63" s="13">
        <v>58</v>
      </c>
      <c r="B63" s="13">
        <v>29</v>
      </c>
      <c r="C63" s="13" t="str">
        <f t="shared" si="0"/>
        <v>Adult</v>
      </c>
      <c r="D63" s="13" t="s">
        <v>9</v>
      </c>
      <c r="E63" s="13" t="s">
        <v>7</v>
      </c>
      <c r="F63" s="13" t="s">
        <v>128</v>
      </c>
      <c r="G63" s="13">
        <v>2</v>
      </c>
      <c r="H63" s="13" t="str">
        <f t="shared" si="1"/>
        <v>Fresher</v>
      </c>
      <c r="I63" s="65" t="str">
        <f t="shared" si="2"/>
        <v>30000</v>
      </c>
      <c r="J63" s="43">
        <f t="shared" si="3"/>
        <v>9000</v>
      </c>
      <c r="K63" s="13" t="b">
        <f t="shared" si="4"/>
        <v>1</v>
      </c>
      <c r="L63" s="13" t="b">
        <f t="shared" si="5"/>
        <v>0</v>
      </c>
      <c r="M63" s="13" t="str">
        <f t="shared" si="6"/>
        <v>NO BONUS</v>
      </c>
      <c r="N63" s="13" t="str">
        <f t="shared" si="7"/>
        <v>NO BONUS</v>
      </c>
    </row>
    <row r="64" spans="1:14" x14ac:dyDescent="0.25">
      <c r="A64" s="13">
        <v>59</v>
      </c>
      <c r="B64" s="13">
        <v>30</v>
      </c>
      <c r="C64" s="13" t="str">
        <f t="shared" si="0"/>
        <v>Adult</v>
      </c>
      <c r="D64" s="13" t="s">
        <v>6</v>
      </c>
      <c r="E64" s="13" t="s">
        <v>7</v>
      </c>
      <c r="F64" s="13" t="s">
        <v>33</v>
      </c>
      <c r="G64" s="13">
        <v>2</v>
      </c>
      <c r="H64" s="13" t="str">
        <f t="shared" si="1"/>
        <v>Fresher</v>
      </c>
      <c r="I64" s="65" t="str">
        <f t="shared" si="2"/>
        <v>30000</v>
      </c>
      <c r="J64" s="43">
        <f t="shared" si="3"/>
        <v>9000</v>
      </c>
      <c r="K64" s="13" t="b">
        <f t="shared" si="4"/>
        <v>1</v>
      </c>
      <c r="L64" s="13" t="b">
        <f t="shared" si="5"/>
        <v>0</v>
      </c>
      <c r="M64" s="13" t="str">
        <f t="shared" si="6"/>
        <v>NO BONUS</v>
      </c>
      <c r="N64" s="13" t="str">
        <f t="shared" si="7"/>
        <v>NO BONUS</v>
      </c>
    </row>
    <row r="65" spans="1:14" x14ac:dyDescent="0.25">
      <c r="A65" s="13">
        <v>60</v>
      </c>
      <c r="B65" s="13">
        <v>30</v>
      </c>
      <c r="C65" s="13" t="str">
        <f t="shared" si="0"/>
        <v>Adult</v>
      </c>
      <c r="D65" s="13" t="s">
        <v>6</v>
      </c>
      <c r="E65" s="13" t="s">
        <v>7</v>
      </c>
      <c r="F65" s="13" t="s">
        <v>52</v>
      </c>
      <c r="G65" s="13">
        <v>3</v>
      </c>
      <c r="H65" s="13" t="str">
        <f t="shared" si="1"/>
        <v>Fresher</v>
      </c>
      <c r="I65" s="65" t="str">
        <f t="shared" si="2"/>
        <v>30000</v>
      </c>
      <c r="J65" s="43">
        <f t="shared" si="3"/>
        <v>9000</v>
      </c>
      <c r="K65" s="13" t="b">
        <f t="shared" si="4"/>
        <v>1</v>
      </c>
      <c r="L65" s="13" t="b">
        <f t="shared" si="5"/>
        <v>0</v>
      </c>
      <c r="M65" s="13" t="str">
        <f t="shared" si="6"/>
        <v>NO BONUS</v>
      </c>
      <c r="N65" s="13" t="str">
        <f t="shared" si="7"/>
        <v>NO BONUS</v>
      </c>
    </row>
    <row r="66" spans="1:14" x14ac:dyDescent="0.25">
      <c r="A66" s="13">
        <v>61</v>
      </c>
      <c r="B66" s="13">
        <v>30</v>
      </c>
      <c r="C66" s="13" t="str">
        <f t="shared" si="0"/>
        <v>Adult</v>
      </c>
      <c r="D66" s="13" t="s">
        <v>9</v>
      </c>
      <c r="E66" s="13" t="s">
        <v>7</v>
      </c>
      <c r="F66" s="13" t="s">
        <v>65</v>
      </c>
      <c r="G66" s="13">
        <v>4</v>
      </c>
      <c r="H66" s="13" t="str">
        <f t="shared" si="1"/>
        <v>Experienced</v>
      </c>
      <c r="I66" s="65" t="str">
        <f t="shared" si="2"/>
        <v>60000</v>
      </c>
      <c r="J66" s="43">
        <f t="shared" si="3"/>
        <v>18000</v>
      </c>
      <c r="K66" s="13" t="b">
        <f t="shared" si="4"/>
        <v>1</v>
      </c>
      <c r="L66" s="13" t="b">
        <f t="shared" si="5"/>
        <v>0</v>
      </c>
      <c r="M66" s="13" t="str">
        <f t="shared" si="6"/>
        <v>GET BONUS</v>
      </c>
      <c r="N66" s="13" t="str">
        <f t="shared" si="7"/>
        <v>NO BONUS</v>
      </c>
    </row>
    <row r="67" spans="1:14" x14ac:dyDescent="0.25">
      <c r="A67" s="13">
        <v>62</v>
      </c>
      <c r="B67" s="13">
        <v>30</v>
      </c>
      <c r="C67" s="13" t="str">
        <f t="shared" si="0"/>
        <v>Adult</v>
      </c>
      <c r="D67" s="13" t="s">
        <v>9</v>
      </c>
      <c r="E67" s="13" t="s">
        <v>7</v>
      </c>
      <c r="F67" s="13" t="s">
        <v>80</v>
      </c>
      <c r="G67" s="13">
        <v>3</v>
      </c>
      <c r="H67" s="13" t="str">
        <f t="shared" si="1"/>
        <v>Fresher</v>
      </c>
      <c r="I67" s="65" t="str">
        <f t="shared" si="2"/>
        <v>30000</v>
      </c>
      <c r="J67" s="43">
        <f t="shared" si="3"/>
        <v>9000</v>
      </c>
      <c r="K67" s="13" t="b">
        <f t="shared" si="4"/>
        <v>1</v>
      </c>
      <c r="L67" s="13" t="b">
        <f t="shared" si="5"/>
        <v>0</v>
      </c>
      <c r="M67" s="13" t="str">
        <f t="shared" si="6"/>
        <v>NO BONUS</v>
      </c>
      <c r="N67" s="13" t="str">
        <f t="shared" si="7"/>
        <v>NO BONUS</v>
      </c>
    </row>
    <row r="68" spans="1:14" x14ac:dyDescent="0.25">
      <c r="A68" s="13">
        <v>63</v>
      </c>
      <c r="B68" s="13">
        <v>30</v>
      </c>
      <c r="C68" s="13" t="str">
        <f t="shared" si="0"/>
        <v>Adult</v>
      </c>
      <c r="D68" s="13" t="s">
        <v>9</v>
      </c>
      <c r="E68" s="13" t="s">
        <v>7</v>
      </c>
      <c r="F68" s="13" t="s">
        <v>101</v>
      </c>
      <c r="G68" s="13">
        <v>3</v>
      </c>
      <c r="H68" s="13" t="str">
        <f t="shared" si="1"/>
        <v>Fresher</v>
      </c>
      <c r="I68" s="65" t="str">
        <f t="shared" si="2"/>
        <v>30000</v>
      </c>
      <c r="J68" s="43">
        <f t="shared" si="3"/>
        <v>9000</v>
      </c>
      <c r="K68" s="13" t="b">
        <f t="shared" si="4"/>
        <v>1</v>
      </c>
      <c r="L68" s="13" t="b">
        <f t="shared" si="5"/>
        <v>0</v>
      </c>
      <c r="M68" s="13" t="str">
        <f t="shared" si="6"/>
        <v>NO BONUS</v>
      </c>
      <c r="N68" s="13" t="str">
        <f t="shared" si="7"/>
        <v>NO BONUS</v>
      </c>
    </row>
    <row r="69" spans="1:14" x14ac:dyDescent="0.25">
      <c r="A69" s="13">
        <v>64</v>
      </c>
      <c r="B69" s="13">
        <v>30</v>
      </c>
      <c r="C69" s="13" t="str">
        <f t="shared" si="0"/>
        <v>Adult</v>
      </c>
      <c r="D69" s="13" t="s">
        <v>9</v>
      </c>
      <c r="E69" s="13" t="s">
        <v>7</v>
      </c>
      <c r="F69" s="13" t="s">
        <v>122</v>
      </c>
      <c r="G69" s="13">
        <v>4</v>
      </c>
      <c r="H69" s="13" t="str">
        <f t="shared" si="1"/>
        <v>Experienced</v>
      </c>
      <c r="I69" s="65" t="str">
        <f t="shared" si="2"/>
        <v>60000</v>
      </c>
      <c r="J69" s="43">
        <f t="shared" si="3"/>
        <v>18000</v>
      </c>
      <c r="K69" s="13" t="b">
        <f t="shared" si="4"/>
        <v>1</v>
      </c>
      <c r="L69" s="13" t="b">
        <f t="shared" si="5"/>
        <v>0</v>
      </c>
      <c r="M69" s="13" t="str">
        <f t="shared" si="6"/>
        <v>GET BONUS</v>
      </c>
      <c r="N69" s="13" t="str">
        <f t="shared" si="7"/>
        <v>NO BONUS</v>
      </c>
    </row>
    <row r="70" spans="1:14" x14ac:dyDescent="0.25">
      <c r="A70" s="13">
        <v>65</v>
      </c>
      <c r="B70" s="13">
        <v>30</v>
      </c>
      <c r="C70" s="13" t="str">
        <f t="shared" ref="C70:C133" si="9">IF(B70&gt;=50,"Senior",IF(B70&gt;=25,"Adult","Teenager"))</f>
        <v>Adult</v>
      </c>
      <c r="D70" s="13" t="s">
        <v>9</v>
      </c>
      <c r="E70" s="13" t="s">
        <v>7</v>
      </c>
      <c r="F70" s="13" t="s">
        <v>142</v>
      </c>
      <c r="G70" s="13">
        <v>3</v>
      </c>
      <c r="H70" s="13" t="str">
        <f t="shared" si="1"/>
        <v>Fresher</v>
      </c>
      <c r="I70" s="65" t="str">
        <f t="shared" si="2"/>
        <v>30000</v>
      </c>
      <c r="J70" s="43">
        <f t="shared" si="3"/>
        <v>9000</v>
      </c>
      <c r="K70" s="13" t="b">
        <f t="shared" si="4"/>
        <v>1</v>
      </c>
      <c r="L70" s="13" t="b">
        <f t="shared" si="5"/>
        <v>0</v>
      </c>
      <c r="M70" s="13" t="str">
        <f t="shared" si="6"/>
        <v>NO BONUS</v>
      </c>
      <c r="N70" s="13" t="str">
        <f t="shared" si="7"/>
        <v>NO BONUS</v>
      </c>
    </row>
    <row r="71" spans="1:14" x14ac:dyDescent="0.25">
      <c r="A71" s="13">
        <v>66</v>
      </c>
      <c r="B71" s="13">
        <v>30</v>
      </c>
      <c r="C71" s="13" t="str">
        <f t="shared" si="9"/>
        <v>Adult</v>
      </c>
      <c r="D71" s="13" t="s">
        <v>9</v>
      </c>
      <c r="E71" s="13" t="s">
        <v>7</v>
      </c>
      <c r="F71" s="13" t="s">
        <v>162</v>
      </c>
      <c r="G71" s="13">
        <v>3</v>
      </c>
      <c r="H71" s="13" t="str">
        <f t="shared" ref="H71:H134" si="10">IF(G71&gt;=4,"Experienced",IF(G71&lt;=3,"Fresher"))</f>
        <v>Fresher</v>
      </c>
      <c r="I71" s="65" t="str">
        <f t="shared" ref="I71:I134" si="11">IF(G71&lt;=1,"20000",IF(G71&lt;=3,"30000",IF(G71&lt;=10,"60000",IF(G71&lt;=15,"100000",IF(G71&lt;=20,"150000",IF(G71&lt;=25,"200000"))))))</f>
        <v>30000</v>
      </c>
      <c r="J71" s="43">
        <f t="shared" ref="J71:J134" si="12">IF(I71&gt;=100000,I71*30%,IF(I71&gt;=50000,I71*20%,IF(I71&lt;50000,I71*10%)))</f>
        <v>9000</v>
      </c>
      <c r="K71" s="13" t="b">
        <f t="shared" ref="K71:K134" si="13">OR(D71="Female",H71="Fresher")</f>
        <v>1</v>
      </c>
      <c r="L71" s="13" t="b">
        <f t="shared" ref="L71:L134" si="14">AND(C71="Adult",D71="Male",H71="Experienced")</f>
        <v>0</v>
      </c>
      <c r="M71" s="13" t="str">
        <f t="shared" ref="M71:M134" si="15">IF(OR(C71="Senior",H71="Experienced"),"GET BONUS","NO BONUS")</f>
        <v>NO BONUS</v>
      </c>
      <c r="N71" s="13" t="str">
        <f t="shared" ref="N71:N134" si="16">IF(AND(D71="Female",E71="Master's"),"GET BONUS","NO BONUS")</f>
        <v>NO BONUS</v>
      </c>
    </row>
    <row r="72" spans="1:14" x14ac:dyDescent="0.25">
      <c r="A72" s="13">
        <v>67</v>
      </c>
      <c r="B72" s="13">
        <v>30</v>
      </c>
      <c r="C72" s="13" t="str">
        <f t="shared" si="9"/>
        <v>Adult</v>
      </c>
      <c r="D72" s="13" t="s">
        <v>6</v>
      </c>
      <c r="E72" s="13" t="s">
        <v>7</v>
      </c>
      <c r="F72" s="13" t="s">
        <v>166</v>
      </c>
      <c r="G72" s="13">
        <v>3</v>
      </c>
      <c r="H72" s="13" t="str">
        <f t="shared" si="10"/>
        <v>Fresher</v>
      </c>
      <c r="I72" s="65" t="str">
        <f t="shared" si="11"/>
        <v>30000</v>
      </c>
      <c r="J72" s="43">
        <f t="shared" si="12"/>
        <v>9000</v>
      </c>
      <c r="K72" s="13" t="b">
        <f t="shared" si="13"/>
        <v>1</v>
      </c>
      <c r="L72" s="13" t="b">
        <f t="shared" si="14"/>
        <v>0</v>
      </c>
      <c r="M72" s="13" t="str">
        <f t="shared" si="15"/>
        <v>NO BONUS</v>
      </c>
      <c r="N72" s="13" t="str">
        <f t="shared" si="16"/>
        <v>NO BONUS</v>
      </c>
    </row>
    <row r="73" spans="1:14" x14ac:dyDescent="0.25">
      <c r="A73" s="13">
        <v>68</v>
      </c>
      <c r="B73" s="13">
        <v>30</v>
      </c>
      <c r="C73" s="13" t="str">
        <f t="shared" si="9"/>
        <v>Adult</v>
      </c>
      <c r="D73" s="13" t="s">
        <v>9</v>
      </c>
      <c r="E73" s="13" t="s">
        <v>7</v>
      </c>
      <c r="F73" s="13" t="s">
        <v>150</v>
      </c>
      <c r="G73" s="13">
        <v>2</v>
      </c>
      <c r="H73" s="13" t="str">
        <f t="shared" si="10"/>
        <v>Fresher</v>
      </c>
      <c r="I73" s="65" t="str">
        <f t="shared" si="11"/>
        <v>30000</v>
      </c>
      <c r="J73" s="43">
        <f t="shared" si="12"/>
        <v>9000</v>
      </c>
      <c r="K73" s="13" t="b">
        <f t="shared" si="13"/>
        <v>1</v>
      </c>
      <c r="L73" s="13" t="b">
        <f t="shared" si="14"/>
        <v>0</v>
      </c>
      <c r="M73" s="13" t="str">
        <f t="shared" si="15"/>
        <v>NO BONUS</v>
      </c>
      <c r="N73" s="13" t="str">
        <f t="shared" si="16"/>
        <v>NO BONUS</v>
      </c>
    </row>
    <row r="74" spans="1:14" x14ac:dyDescent="0.25">
      <c r="A74" s="13">
        <v>69</v>
      </c>
      <c r="B74" s="13">
        <v>30</v>
      </c>
      <c r="C74" s="13" t="str">
        <f t="shared" si="9"/>
        <v>Adult</v>
      </c>
      <c r="D74" s="13" t="s">
        <v>6</v>
      </c>
      <c r="E74" s="13" t="s">
        <v>7</v>
      </c>
      <c r="F74" s="13" t="s">
        <v>127</v>
      </c>
      <c r="G74" s="13">
        <v>3</v>
      </c>
      <c r="H74" s="13" t="str">
        <f t="shared" si="10"/>
        <v>Fresher</v>
      </c>
      <c r="I74" s="65" t="str">
        <f t="shared" si="11"/>
        <v>30000</v>
      </c>
      <c r="J74" s="43">
        <f t="shared" si="12"/>
        <v>9000</v>
      </c>
      <c r="K74" s="13" t="b">
        <f t="shared" si="13"/>
        <v>1</v>
      </c>
      <c r="L74" s="13" t="b">
        <f t="shared" si="14"/>
        <v>0</v>
      </c>
      <c r="M74" s="13" t="str">
        <f t="shared" si="15"/>
        <v>NO BONUS</v>
      </c>
      <c r="N74" s="13" t="str">
        <f t="shared" si="16"/>
        <v>NO BONUS</v>
      </c>
    </row>
    <row r="75" spans="1:14" x14ac:dyDescent="0.25">
      <c r="A75" s="13">
        <v>70</v>
      </c>
      <c r="B75" s="13">
        <v>30</v>
      </c>
      <c r="C75" s="13" t="str">
        <f t="shared" si="9"/>
        <v>Adult</v>
      </c>
      <c r="D75" s="13" t="s">
        <v>9</v>
      </c>
      <c r="E75" s="13" t="s">
        <v>7</v>
      </c>
      <c r="F75" s="13" t="s">
        <v>150</v>
      </c>
      <c r="G75" s="13">
        <v>2</v>
      </c>
      <c r="H75" s="13" t="str">
        <f t="shared" si="10"/>
        <v>Fresher</v>
      </c>
      <c r="I75" s="65" t="str">
        <f t="shared" si="11"/>
        <v>30000</v>
      </c>
      <c r="J75" s="43">
        <f t="shared" si="12"/>
        <v>9000</v>
      </c>
      <c r="K75" s="13" t="b">
        <f t="shared" si="13"/>
        <v>1</v>
      </c>
      <c r="L75" s="13" t="b">
        <f t="shared" si="14"/>
        <v>0</v>
      </c>
      <c r="M75" s="13" t="str">
        <f t="shared" si="15"/>
        <v>NO BONUS</v>
      </c>
      <c r="N75" s="13" t="str">
        <f t="shared" si="16"/>
        <v>NO BONUS</v>
      </c>
    </row>
    <row r="76" spans="1:14" x14ac:dyDescent="0.25">
      <c r="A76" s="13">
        <v>71</v>
      </c>
      <c r="B76" s="13">
        <v>30</v>
      </c>
      <c r="C76" s="13" t="str">
        <f t="shared" si="9"/>
        <v>Adult</v>
      </c>
      <c r="D76" s="13" t="s">
        <v>6</v>
      </c>
      <c r="E76" s="13" t="s">
        <v>7</v>
      </c>
      <c r="F76" s="13" t="s">
        <v>125</v>
      </c>
      <c r="G76" s="13">
        <v>2</v>
      </c>
      <c r="H76" s="13" t="str">
        <f t="shared" si="10"/>
        <v>Fresher</v>
      </c>
      <c r="I76" s="65" t="str">
        <f t="shared" si="11"/>
        <v>30000</v>
      </c>
      <c r="J76" s="43">
        <f t="shared" si="12"/>
        <v>9000</v>
      </c>
      <c r="K76" s="13" t="b">
        <f t="shared" si="13"/>
        <v>1</v>
      </c>
      <c r="L76" s="13" t="b">
        <f t="shared" si="14"/>
        <v>0</v>
      </c>
      <c r="M76" s="13" t="str">
        <f t="shared" si="15"/>
        <v>NO BONUS</v>
      </c>
      <c r="N76" s="13" t="str">
        <f t="shared" si="16"/>
        <v>NO BONUS</v>
      </c>
    </row>
    <row r="77" spans="1:14" x14ac:dyDescent="0.25">
      <c r="A77" s="13">
        <v>72</v>
      </c>
      <c r="B77" s="13">
        <v>30</v>
      </c>
      <c r="C77" s="13" t="str">
        <f t="shared" si="9"/>
        <v>Adult</v>
      </c>
      <c r="D77" s="13" t="s">
        <v>9</v>
      </c>
      <c r="E77" s="13" t="s">
        <v>7</v>
      </c>
      <c r="F77" s="13" t="s">
        <v>180</v>
      </c>
      <c r="G77" s="13">
        <v>2</v>
      </c>
      <c r="H77" s="13" t="str">
        <f t="shared" si="10"/>
        <v>Fresher</v>
      </c>
      <c r="I77" s="65" t="str">
        <f t="shared" si="11"/>
        <v>30000</v>
      </c>
      <c r="J77" s="43">
        <f t="shared" si="12"/>
        <v>9000</v>
      </c>
      <c r="K77" s="13" t="b">
        <f t="shared" si="13"/>
        <v>1</v>
      </c>
      <c r="L77" s="13" t="b">
        <f t="shared" si="14"/>
        <v>0</v>
      </c>
      <c r="M77" s="13" t="str">
        <f t="shared" si="15"/>
        <v>NO BONUS</v>
      </c>
      <c r="N77" s="13" t="str">
        <f t="shared" si="16"/>
        <v>NO BONUS</v>
      </c>
    </row>
    <row r="78" spans="1:14" x14ac:dyDescent="0.25">
      <c r="A78" s="13">
        <v>73</v>
      </c>
      <c r="B78" s="13">
        <v>30</v>
      </c>
      <c r="C78" s="13" t="str">
        <f t="shared" si="9"/>
        <v>Adult</v>
      </c>
      <c r="D78" s="13" t="s">
        <v>9</v>
      </c>
      <c r="E78" s="13" t="s">
        <v>7</v>
      </c>
      <c r="F78" s="13" t="s">
        <v>148</v>
      </c>
      <c r="G78" s="13">
        <v>2</v>
      </c>
      <c r="H78" s="13" t="str">
        <f t="shared" si="10"/>
        <v>Fresher</v>
      </c>
      <c r="I78" s="65" t="str">
        <f t="shared" si="11"/>
        <v>30000</v>
      </c>
      <c r="J78" s="43">
        <f t="shared" si="12"/>
        <v>9000</v>
      </c>
      <c r="K78" s="13" t="b">
        <f t="shared" si="13"/>
        <v>1</v>
      </c>
      <c r="L78" s="13" t="b">
        <f t="shared" si="14"/>
        <v>0</v>
      </c>
      <c r="M78" s="13" t="str">
        <f t="shared" si="15"/>
        <v>NO BONUS</v>
      </c>
      <c r="N78" s="13" t="str">
        <f t="shared" si="16"/>
        <v>NO BONUS</v>
      </c>
    </row>
    <row r="79" spans="1:14" x14ac:dyDescent="0.25">
      <c r="A79" s="13">
        <v>74</v>
      </c>
      <c r="B79" s="13">
        <v>31</v>
      </c>
      <c r="C79" s="13" t="str">
        <f t="shared" si="9"/>
        <v>Adult</v>
      </c>
      <c r="D79" s="13" t="s">
        <v>6</v>
      </c>
      <c r="E79" s="13" t="s">
        <v>7</v>
      </c>
      <c r="F79" s="13" t="s">
        <v>18</v>
      </c>
      <c r="G79" s="13">
        <v>4</v>
      </c>
      <c r="H79" s="13" t="str">
        <f t="shared" si="10"/>
        <v>Experienced</v>
      </c>
      <c r="I79" s="65" t="str">
        <f t="shared" si="11"/>
        <v>60000</v>
      </c>
      <c r="J79" s="43">
        <f t="shared" si="12"/>
        <v>18000</v>
      </c>
      <c r="K79" s="13" t="b">
        <f t="shared" si="13"/>
        <v>0</v>
      </c>
      <c r="L79" s="13" t="b">
        <f t="shared" si="14"/>
        <v>1</v>
      </c>
      <c r="M79" s="13" t="str">
        <f t="shared" si="15"/>
        <v>GET BONUS</v>
      </c>
      <c r="N79" s="13" t="str">
        <f t="shared" si="16"/>
        <v>NO BONUS</v>
      </c>
    </row>
    <row r="80" spans="1:14" x14ac:dyDescent="0.25">
      <c r="A80" s="13">
        <v>75</v>
      </c>
      <c r="B80" s="13">
        <v>31</v>
      </c>
      <c r="C80" s="13" t="str">
        <f t="shared" si="9"/>
        <v>Adult</v>
      </c>
      <c r="D80" s="13" t="s">
        <v>9</v>
      </c>
      <c r="E80" s="13" t="s">
        <v>7</v>
      </c>
      <c r="F80" s="13" t="s">
        <v>42</v>
      </c>
      <c r="G80" s="13">
        <v>4</v>
      </c>
      <c r="H80" s="13" t="str">
        <f t="shared" si="10"/>
        <v>Experienced</v>
      </c>
      <c r="I80" s="65" t="str">
        <f t="shared" si="11"/>
        <v>60000</v>
      </c>
      <c r="J80" s="43">
        <f t="shared" si="12"/>
        <v>18000</v>
      </c>
      <c r="K80" s="13" t="b">
        <f t="shared" si="13"/>
        <v>1</v>
      </c>
      <c r="L80" s="13" t="b">
        <f t="shared" si="14"/>
        <v>0</v>
      </c>
      <c r="M80" s="13" t="str">
        <f t="shared" si="15"/>
        <v>GET BONUS</v>
      </c>
      <c r="N80" s="13" t="str">
        <f t="shared" si="16"/>
        <v>NO BONUS</v>
      </c>
    </row>
    <row r="81" spans="1:14" x14ac:dyDescent="0.25">
      <c r="A81" s="13">
        <v>76</v>
      </c>
      <c r="B81" s="13">
        <v>31</v>
      </c>
      <c r="C81" s="13" t="str">
        <f t="shared" si="9"/>
        <v>Adult</v>
      </c>
      <c r="D81" s="13" t="s">
        <v>9</v>
      </c>
      <c r="E81" s="13" t="s">
        <v>7</v>
      </c>
      <c r="F81" s="13" t="s">
        <v>71</v>
      </c>
      <c r="G81" s="13">
        <v>5</v>
      </c>
      <c r="H81" s="13" t="str">
        <f t="shared" si="10"/>
        <v>Experienced</v>
      </c>
      <c r="I81" s="65" t="str">
        <f t="shared" si="11"/>
        <v>60000</v>
      </c>
      <c r="J81" s="43">
        <f t="shared" si="12"/>
        <v>18000</v>
      </c>
      <c r="K81" s="13" t="b">
        <f t="shared" si="13"/>
        <v>1</v>
      </c>
      <c r="L81" s="13" t="b">
        <f t="shared" si="14"/>
        <v>0</v>
      </c>
      <c r="M81" s="13" t="str">
        <f t="shared" si="15"/>
        <v>GET BONUS</v>
      </c>
      <c r="N81" s="13" t="str">
        <f t="shared" si="16"/>
        <v>NO BONUS</v>
      </c>
    </row>
    <row r="82" spans="1:14" x14ac:dyDescent="0.25">
      <c r="A82" s="13">
        <v>77</v>
      </c>
      <c r="B82" s="13">
        <v>31</v>
      </c>
      <c r="C82" s="13" t="str">
        <f t="shared" si="9"/>
        <v>Adult</v>
      </c>
      <c r="D82" s="13" t="s">
        <v>9</v>
      </c>
      <c r="E82" s="13" t="s">
        <v>7</v>
      </c>
      <c r="F82" s="13" t="s">
        <v>19</v>
      </c>
      <c r="G82" s="13">
        <v>6</v>
      </c>
      <c r="H82" s="13" t="str">
        <f t="shared" si="10"/>
        <v>Experienced</v>
      </c>
      <c r="I82" s="65" t="str">
        <f t="shared" si="11"/>
        <v>60000</v>
      </c>
      <c r="J82" s="43">
        <f t="shared" si="12"/>
        <v>18000</v>
      </c>
      <c r="K82" s="13" t="b">
        <f t="shared" si="13"/>
        <v>1</v>
      </c>
      <c r="L82" s="13" t="b">
        <f t="shared" si="14"/>
        <v>0</v>
      </c>
      <c r="M82" s="13" t="str">
        <f t="shared" si="15"/>
        <v>GET BONUS</v>
      </c>
      <c r="N82" s="13" t="str">
        <f t="shared" si="16"/>
        <v>NO BONUS</v>
      </c>
    </row>
    <row r="83" spans="1:14" x14ac:dyDescent="0.25">
      <c r="A83" s="13">
        <v>78</v>
      </c>
      <c r="B83" s="13">
        <v>31</v>
      </c>
      <c r="C83" s="13" t="str">
        <f t="shared" si="9"/>
        <v>Adult</v>
      </c>
      <c r="D83" s="13" t="s">
        <v>9</v>
      </c>
      <c r="E83" s="13" t="s">
        <v>7</v>
      </c>
      <c r="F83" s="13" t="s">
        <v>61</v>
      </c>
      <c r="G83" s="13">
        <v>5</v>
      </c>
      <c r="H83" s="13" t="str">
        <f t="shared" si="10"/>
        <v>Experienced</v>
      </c>
      <c r="I83" s="65" t="str">
        <f t="shared" si="11"/>
        <v>60000</v>
      </c>
      <c r="J83" s="43">
        <f t="shared" si="12"/>
        <v>18000</v>
      </c>
      <c r="K83" s="13" t="b">
        <f t="shared" si="13"/>
        <v>1</v>
      </c>
      <c r="L83" s="13" t="b">
        <f t="shared" si="14"/>
        <v>0</v>
      </c>
      <c r="M83" s="13" t="str">
        <f t="shared" si="15"/>
        <v>GET BONUS</v>
      </c>
      <c r="N83" s="13" t="str">
        <f t="shared" si="16"/>
        <v>NO BONUS</v>
      </c>
    </row>
    <row r="84" spans="1:14" x14ac:dyDescent="0.25">
      <c r="A84" s="13">
        <v>79</v>
      </c>
      <c r="B84" s="13">
        <v>31</v>
      </c>
      <c r="C84" s="13" t="str">
        <f t="shared" si="9"/>
        <v>Adult</v>
      </c>
      <c r="D84" s="13" t="s">
        <v>6</v>
      </c>
      <c r="E84" s="13" t="s">
        <v>10</v>
      </c>
      <c r="F84" s="13" t="s">
        <v>73</v>
      </c>
      <c r="G84" s="13">
        <v>6</v>
      </c>
      <c r="H84" s="13" t="str">
        <f t="shared" si="10"/>
        <v>Experienced</v>
      </c>
      <c r="I84" s="65" t="str">
        <f t="shared" si="11"/>
        <v>60000</v>
      </c>
      <c r="J84" s="43">
        <f t="shared" si="12"/>
        <v>18000</v>
      </c>
      <c r="K84" s="13" t="b">
        <f t="shared" si="13"/>
        <v>0</v>
      </c>
      <c r="L84" s="13" t="b">
        <f t="shared" si="14"/>
        <v>1</v>
      </c>
      <c r="M84" s="13" t="str">
        <f t="shared" si="15"/>
        <v>GET BONUS</v>
      </c>
      <c r="N84" s="13" t="str">
        <f t="shared" si="16"/>
        <v>NO BONUS</v>
      </c>
    </row>
    <row r="85" spans="1:14" x14ac:dyDescent="0.25">
      <c r="A85" s="13">
        <v>80</v>
      </c>
      <c r="B85" s="13">
        <v>31</v>
      </c>
      <c r="C85" s="13" t="str">
        <f t="shared" si="9"/>
        <v>Adult</v>
      </c>
      <c r="D85" s="13" t="s">
        <v>6</v>
      </c>
      <c r="E85" s="13" t="s">
        <v>7</v>
      </c>
      <c r="F85" s="13" t="s">
        <v>128</v>
      </c>
      <c r="G85" s="13">
        <v>4</v>
      </c>
      <c r="H85" s="13" t="str">
        <f t="shared" si="10"/>
        <v>Experienced</v>
      </c>
      <c r="I85" s="65" t="str">
        <f t="shared" si="11"/>
        <v>60000</v>
      </c>
      <c r="J85" s="43">
        <f t="shared" si="12"/>
        <v>18000</v>
      </c>
      <c r="K85" s="13" t="b">
        <f t="shared" si="13"/>
        <v>0</v>
      </c>
      <c r="L85" s="13" t="b">
        <f t="shared" si="14"/>
        <v>1</v>
      </c>
      <c r="M85" s="13" t="str">
        <f t="shared" si="15"/>
        <v>GET BONUS</v>
      </c>
      <c r="N85" s="13" t="str">
        <f t="shared" si="16"/>
        <v>NO BONUS</v>
      </c>
    </row>
    <row r="86" spans="1:14" x14ac:dyDescent="0.25">
      <c r="A86" s="13">
        <v>81</v>
      </c>
      <c r="B86" s="13">
        <v>31</v>
      </c>
      <c r="C86" s="13" t="str">
        <f t="shared" si="9"/>
        <v>Adult</v>
      </c>
      <c r="D86" s="13" t="s">
        <v>9</v>
      </c>
      <c r="E86" s="13" t="s">
        <v>7</v>
      </c>
      <c r="F86" s="13" t="s">
        <v>148</v>
      </c>
      <c r="G86" s="13">
        <v>4</v>
      </c>
      <c r="H86" s="13" t="str">
        <f t="shared" si="10"/>
        <v>Experienced</v>
      </c>
      <c r="I86" s="65" t="str">
        <f t="shared" si="11"/>
        <v>60000</v>
      </c>
      <c r="J86" s="43">
        <f t="shared" si="12"/>
        <v>18000</v>
      </c>
      <c r="K86" s="13" t="b">
        <f t="shared" si="13"/>
        <v>1</v>
      </c>
      <c r="L86" s="13" t="b">
        <f t="shared" si="14"/>
        <v>0</v>
      </c>
      <c r="M86" s="13" t="str">
        <f t="shared" si="15"/>
        <v>GET BONUS</v>
      </c>
      <c r="N86" s="13" t="str">
        <f t="shared" si="16"/>
        <v>NO BONUS</v>
      </c>
    </row>
    <row r="87" spans="1:14" x14ac:dyDescent="0.25">
      <c r="A87" s="13">
        <v>82</v>
      </c>
      <c r="B87" s="13">
        <v>31</v>
      </c>
      <c r="C87" s="13" t="str">
        <f t="shared" si="9"/>
        <v>Adult</v>
      </c>
      <c r="D87" s="13" t="s">
        <v>6</v>
      </c>
      <c r="E87" s="13" t="s">
        <v>7</v>
      </c>
      <c r="F87" s="13" t="s">
        <v>68</v>
      </c>
      <c r="G87" s="13">
        <v>4</v>
      </c>
      <c r="H87" s="13" t="str">
        <f t="shared" si="10"/>
        <v>Experienced</v>
      </c>
      <c r="I87" s="65" t="str">
        <f t="shared" si="11"/>
        <v>60000</v>
      </c>
      <c r="J87" s="43">
        <f t="shared" si="12"/>
        <v>18000</v>
      </c>
      <c r="K87" s="13" t="b">
        <f t="shared" si="13"/>
        <v>0</v>
      </c>
      <c r="L87" s="13" t="b">
        <f t="shared" si="14"/>
        <v>1</v>
      </c>
      <c r="M87" s="13" t="str">
        <f t="shared" si="15"/>
        <v>GET BONUS</v>
      </c>
      <c r="N87" s="13" t="str">
        <f t="shared" si="16"/>
        <v>NO BONUS</v>
      </c>
    </row>
    <row r="88" spans="1:14" x14ac:dyDescent="0.25">
      <c r="A88" s="13">
        <v>83</v>
      </c>
      <c r="B88" s="13">
        <v>31</v>
      </c>
      <c r="C88" s="13" t="str">
        <f t="shared" si="9"/>
        <v>Adult</v>
      </c>
      <c r="D88" s="13" t="s">
        <v>6</v>
      </c>
      <c r="E88" s="13" t="s">
        <v>7</v>
      </c>
      <c r="F88" s="13" t="s">
        <v>112</v>
      </c>
      <c r="G88" s="13">
        <v>4</v>
      </c>
      <c r="H88" s="13" t="str">
        <f t="shared" si="10"/>
        <v>Experienced</v>
      </c>
      <c r="I88" s="65" t="str">
        <f t="shared" si="11"/>
        <v>60000</v>
      </c>
      <c r="J88" s="43">
        <f t="shared" si="12"/>
        <v>18000</v>
      </c>
      <c r="K88" s="13" t="b">
        <f t="shared" si="13"/>
        <v>0</v>
      </c>
      <c r="L88" s="13" t="b">
        <f t="shared" si="14"/>
        <v>1</v>
      </c>
      <c r="M88" s="13" t="str">
        <f t="shared" si="15"/>
        <v>GET BONUS</v>
      </c>
      <c r="N88" s="13" t="str">
        <f t="shared" si="16"/>
        <v>NO BONUS</v>
      </c>
    </row>
    <row r="89" spans="1:14" x14ac:dyDescent="0.25">
      <c r="A89" s="13">
        <v>84</v>
      </c>
      <c r="B89" s="13">
        <v>31</v>
      </c>
      <c r="C89" s="13" t="str">
        <f t="shared" si="9"/>
        <v>Adult</v>
      </c>
      <c r="D89" s="13" t="s">
        <v>9</v>
      </c>
      <c r="E89" s="13" t="s">
        <v>7</v>
      </c>
      <c r="F89" s="13" t="s">
        <v>172</v>
      </c>
      <c r="G89" s="13">
        <v>3</v>
      </c>
      <c r="H89" s="13" t="str">
        <f t="shared" si="10"/>
        <v>Fresher</v>
      </c>
      <c r="I89" s="65" t="str">
        <f t="shared" si="11"/>
        <v>30000</v>
      </c>
      <c r="J89" s="43">
        <f t="shared" si="12"/>
        <v>9000</v>
      </c>
      <c r="K89" s="13" t="b">
        <f t="shared" si="13"/>
        <v>1</v>
      </c>
      <c r="L89" s="13" t="b">
        <f t="shared" si="14"/>
        <v>0</v>
      </c>
      <c r="M89" s="13" t="str">
        <f t="shared" si="15"/>
        <v>NO BONUS</v>
      </c>
      <c r="N89" s="13" t="str">
        <f t="shared" si="16"/>
        <v>NO BONUS</v>
      </c>
    </row>
    <row r="90" spans="1:14" x14ac:dyDescent="0.25">
      <c r="A90" s="13">
        <v>85</v>
      </c>
      <c r="B90" s="13">
        <v>31</v>
      </c>
      <c r="C90" s="13" t="str">
        <f t="shared" si="9"/>
        <v>Adult</v>
      </c>
      <c r="D90" s="13" t="s">
        <v>6</v>
      </c>
      <c r="E90" s="13" t="s">
        <v>7</v>
      </c>
      <c r="F90" s="13" t="s">
        <v>136</v>
      </c>
      <c r="G90" s="13">
        <v>3</v>
      </c>
      <c r="H90" s="13" t="str">
        <f t="shared" si="10"/>
        <v>Fresher</v>
      </c>
      <c r="I90" s="65" t="str">
        <f t="shared" si="11"/>
        <v>30000</v>
      </c>
      <c r="J90" s="43">
        <f t="shared" si="12"/>
        <v>9000</v>
      </c>
      <c r="K90" s="13" t="b">
        <f t="shared" si="13"/>
        <v>1</v>
      </c>
      <c r="L90" s="13" t="b">
        <f t="shared" si="14"/>
        <v>0</v>
      </c>
      <c r="M90" s="13" t="str">
        <f t="shared" si="15"/>
        <v>NO BONUS</v>
      </c>
      <c r="N90" s="13" t="str">
        <f t="shared" si="16"/>
        <v>NO BONUS</v>
      </c>
    </row>
    <row r="91" spans="1:14" x14ac:dyDescent="0.25">
      <c r="A91" s="13">
        <v>86</v>
      </c>
      <c r="B91" s="13">
        <v>31</v>
      </c>
      <c r="C91" s="13" t="str">
        <f t="shared" si="9"/>
        <v>Adult</v>
      </c>
      <c r="D91" s="13" t="s">
        <v>9</v>
      </c>
      <c r="E91" s="13" t="s">
        <v>7</v>
      </c>
      <c r="F91" s="13" t="s">
        <v>150</v>
      </c>
      <c r="G91" s="13">
        <v>3</v>
      </c>
      <c r="H91" s="13" t="str">
        <f t="shared" si="10"/>
        <v>Fresher</v>
      </c>
      <c r="I91" s="65" t="str">
        <f t="shared" si="11"/>
        <v>30000</v>
      </c>
      <c r="J91" s="43">
        <f t="shared" si="12"/>
        <v>9000</v>
      </c>
      <c r="K91" s="13" t="b">
        <f t="shared" si="13"/>
        <v>1</v>
      </c>
      <c r="L91" s="13" t="b">
        <f t="shared" si="14"/>
        <v>0</v>
      </c>
      <c r="M91" s="13" t="str">
        <f t="shared" si="15"/>
        <v>NO BONUS</v>
      </c>
      <c r="N91" s="13" t="str">
        <f t="shared" si="16"/>
        <v>NO BONUS</v>
      </c>
    </row>
    <row r="92" spans="1:14" x14ac:dyDescent="0.25">
      <c r="A92" s="13">
        <v>87</v>
      </c>
      <c r="B92" s="13">
        <v>31</v>
      </c>
      <c r="C92" s="13" t="str">
        <f t="shared" si="9"/>
        <v>Adult</v>
      </c>
      <c r="D92" s="13" t="s">
        <v>6</v>
      </c>
      <c r="E92" s="13" t="s">
        <v>7</v>
      </c>
      <c r="F92" s="13" t="s">
        <v>114</v>
      </c>
      <c r="G92" s="13">
        <v>3</v>
      </c>
      <c r="H92" s="13" t="str">
        <f t="shared" si="10"/>
        <v>Fresher</v>
      </c>
      <c r="I92" s="65" t="str">
        <f t="shared" si="11"/>
        <v>30000</v>
      </c>
      <c r="J92" s="43">
        <f t="shared" si="12"/>
        <v>9000</v>
      </c>
      <c r="K92" s="13" t="b">
        <f t="shared" si="13"/>
        <v>1</v>
      </c>
      <c r="L92" s="13" t="b">
        <f t="shared" si="14"/>
        <v>0</v>
      </c>
      <c r="M92" s="13" t="str">
        <f t="shared" si="15"/>
        <v>NO BONUS</v>
      </c>
      <c r="N92" s="13" t="str">
        <f t="shared" si="16"/>
        <v>NO BONUS</v>
      </c>
    </row>
    <row r="93" spans="1:14" x14ac:dyDescent="0.25">
      <c r="A93" s="13">
        <v>88</v>
      </c>
      <c r="B93" s="13">
        <v>31</v>
      </c>
      <c r="C93" s="13" t="str">
        <f t="shared" si="9"/>
        <v>Adult</v>
      </c>
      <c r="D93" s="13" t="s">
        <v>6</v>
      </c>
      <c r="E93" s="13" t="s">
        <v>7</v>
      </c>
      <c r="F93" s="13" t="s">
        <v>128</v>
      </c>
      <c r="G93" s="13">
        <v>3</v>
      </c>
      <c r="H93" s="13" t="str">
        <f t="shared" si="10"/>
        <v>Fresher</v>
      </c>
      <c r="I93" s="65" t="str">
        <f t="shared" si="11"/>
        <v>30000</v>
      </c>
      <c r="J93" s="43">
        <f t="shared" si="12"/>
        <v>9000</v>
      </c>
      <c r="K93" s="13" t="b">
        <f t="shared" si="13"/>
        <v>1</v>
      </c>
      <c r="L93" s="13" t="b">
        <f t="shared" si="14"/>
        <v>0</v>
      </c>
      <c r="M93" s="13" t="str">
        <f t="shared" si="15"/>
        <v>NO BONUS</v>
      </c>
      <c r="N93" s="13" t="str">
        <f t="shared" si="16"/>
        <v>NO BONUS</v>
      </c>
    </row>
    <row r="94" spans="1:14" x14ac:dyDescent="0.25">
      <c r="A94" s="13">
        <v>89</v>
      </c>
      <c r="B94" s="13">
        <v>31</v>
      </c>
      <c r="C94" s="13" t="str">
        <f t="shared" si="9"/>
        <v>Adult</v>
      </c>
      <c r="D94" s="13" t="s">
        <v>6</v>
      </c>
      <c r="E94" s="13" t="s">
        <v>7</v>
      </c>
      <c r="F94" s="13" t="s">
        <v>114</v>
      </c>
      <c r="G94" s="13">
        <v>3</v>
      </c>
      <c r="H94" s="13" t="str">
        <f t="shared" si="10"/>
        <v>Fresher</v>
      </c>
      <c r="I94" s="65" t="str">
        <f t="shared" si="11"/>
        <v>30000</v>
      </c>
      <c r="J94" s="43">
        <f t="shared" si="12"/>
        <v>9000</v>
      </c>
      <c r="K94" s="13" t="b">
        <f t="shared" si="13"/>
        <v>1</v>
      </c>
      <c r="L94" s="13" t="b">
        <f t="shared" si="14"/>
        <v>0</v>
      </c>
      <c r="M94" s="13" t="str">
        <f t="shared" si="15"/>
        <v>NO BONUS</v>
      </c>
      <c r="N94" s="13" t="str">
        <f t="shared" si="16"/>
        <v>NO BONUS</v>
      </c>
    </row>
    <row r="95" spans="1:14" x14ac:dyDescent="0.25">
      <c r="A95" s="13">
        <v>90</v>
      </c>
      <c r="B95" s="13">
        <v>31</v>
      </c>
      <c r="C95" s="13" t="str">
        <f t="shared" si="9"/>
        <v>Adult</v>
      </c>
      <c r="D95" s="13" t="s">
        <v>9</v>
      </c>
      <c r="E95" s="13" t="s">
        <v>7</v>
      </c>
      <c r="F95" s="13" t="s">
        <v>145</v>
      </c>
      <c r="G95" s="13">
        <v>3</v>
      </c>
      <c r="H95" s="13" t="str">
        <f t="shared" si="10"/>
        <v>Fresher</v>
      </c>
      <c r="I95" s="65" t="str">
        <f t="shared" si="11"/>
        <v>30000</v>
      </c>
      <c r="J95" s="43">
        <f t="shared" si="12"/>
        <v>9000</v>
      </c>
      <c r="K95" s="13" t="b">
        <f t="shared" si="13"/>
        <v>1</v>
      </c>
      <c r="L95" s="13" t="b">
        <f t="shared" si="14"/>
        <v>0</v>
      </c>
      <c r="M95" s="13" t="str">
        <f t="shared" si="15"/>
        <v>NO BONUS</v>
      </c>
      <c r="N95" s="13" t="str">
        <f t="shared" si="16"/>
        <v>NO BONUS</v>
      </c>
    </row>
    <row r="96" spans="1:14" x14ac:dyDescent="0.25">
      <c r="A96" s="13">
        <v>91</v>
      </c>
      <c r="B96" s="13">
        <v>31</v>
      </c>
      <c r="C96" s="13" t="str">
        <f t="shared" si="9"/>
        <v>Adult</v>
      </c>
      <c r="D96" s="13" t="s">
        <v>9</v>
      </c>
      <c r="E96" s="13" t="s">
        <v>7</v>
      </c>
      <c r="F96" s="13" t="s">
        <v>136</v>
      </c>
      <c r="G96" s="13">
        <v>3</v>
      </c>
      <c r="H96" s="13" t="str">
        <f t="shared" si="10"/>
        <v>Fresher</v>
      </c>
      <c r="I96" s="65" t="str">
        <f t="shared" si="11"/>
        <v>30000</v>
      </c>
      <c r="J96" s="43">
        <f t="shared" si="12"/>
        <v>9000</v>
      </c>
      <c r="K96" s="13" t="b">
        <f t="shared" si="13"/>
        <v>1</v>
      </c>
      <c r="L96" s="13" t="b">
        <f t="shared" si="14"/>
        <v>0</v>
      </c>
      <c r="M96" s="13" t="str">
        <f t="shared" si="15"/>
        <v>NO BONUS</v>
      </c>
      <c r="N96" s="13" t="str">
        <f t="shared" si="16"/>
        <v>NO BONUS</v>
      </c>
    </row>
    <row r="97" spans="1:14" x14ac:dyDescent="0.25">
      <c r="A97" s="13">
        <v>92</v>
      </c>
      <c r="B97" s="13">
        <v>31</v>
      </c>
      <c r="C97" s="13" t="str">
        <f t="shared" si="9"/>
        <v>Adult</v>
      </c>
      <c r="D97" s="13" t="s">
        <v>6</v>
      </c>
      <c r="E97" s="13" t="s">
        <v>7</v>
      </c>
      <c r="F97" s="13" t="s">
        <v>150</v>
      </c>
      <c r="G97" s="13">
        <v>3</v>
      </c>
      <c r="H97" s="13" t="str">
        <f t="shared" si="10"/>
        <v>Fresher</v>
      </c>
      <c r="I97" s="65" t="str">
        <f t="shared" si="11"/>
        <v>30000</v>
      </c>
      <c r="J97" s="43">
        <f t="shared" si="12"/>
        <v>9000</v>
      </c>
      <c r="K97" s="13" t="b">
        <f t="shared" si="13"/>
        <v>1</v>
      </c>
      <c r="L97" s="13" t="b">
        <f t="shared" si="14"/>
        <v>0</v>
      </c>
      <c r="M97" s="13" t="str">
        <f t="shared" si="15"/>
        <v>NO BONUS</v>
      </c>
      <c r="N97" s="13" t="str">
        <f t="shared" si="16"/>
        <v>NO BONUS</v>
      </c>
    </row>
    <row r="98" spans="1:14" x14ac:dyDescent="0.25">
      <c r="A98" s="13">
        <v>93</v>
      </c>
      <c r="B98" s="13">
        <v>31</v>
      </c>
      <c r="C98" s="13" t="str">
        <f t="shared" si="9"/>
        <v>Adult</v>
      </c>
      <c r="D98" s="13" t="s">
        <v>9</v>
      </c>
      <c r="E98" s="13" t="s">
        <v>7</v>
      </c>
      <c r="F98" s="13" t="s">
        <v>145</v>
      </c>
      <c r="G98" s="13">
        <v>3</v>
      </c>
      <c r="H98" s="13" t="str">
        <f t="shared" si="10"/>
        <v>Fresher</v>
      </c>
      <c r="I98" s="65" t="str">
        <f t="shared" si="11"/>
        <v>30000</v>
      </c>
      <c r="J98" s="43">
        <f t="shared" si="12"/>
        <v>9000</v>
      </c>
      <c r="K98" s="13" t="b">
        <f t="shared" si="13"/>
        <v>1</v>
      </c>
      <c r="L98" s="13" t="b">
        <f t="shared" si="14"/>
        <v>0</v>
      </c>
      <c r="M98" s="13" t="str">
        <f t="shared" si="15"/>
        <v>NO BONUS</v>
      </c>
      <c r="N98" s="13" t="str">
        <f t="shared" si="16"/>
        <v>NO BONUS</v>
      </c>
    </row>
    <row r="99" spans="1:14" x14ac:dyDescent="0.25">
      <c r="A99" s="13">
        <v>94</v>
      </c>
      <c r="B99" s="13">
        <v>31</v>
      </c>
      <c r="C99" s="13" t="str">
        <f t="shared" si="9"/>
        <v>Adult</v>
      </c>
      <c r="D99" s="13" t="s">
        <v>9</v>
      </c>
      <c r="E99" s="13" t="s">
        <v>7</v>
      </c>
      <c r="F99" s="13" t="s">
        <v>136</v>
      </c>
      <c r="G99" s="13">
        <v>3</v>
      </c>
      <c r="H99" s="13" t="str">
        <f t="shared" si="10"/>
        <v>Fresher</v>
      </c>
      <c r="I99" s="65" t="str">
        <f t="shared" si="11"/>
        <v>30000</v>
      </c>
      <c r="J99" s="43">
        <f t="shared" si="12"/>
        <v>9000</v>
      </c>
      <c r="K99" s="13" t="b">
        <f t="shared" si="13"/>
        <v>1</v>
      </c>
      <c r="L99" s="13" t="b">
        <f t="shared" si="14"/>
        <v>0</v>
      </c>
      <c r="M99" s="13" t="str">
        <f t="shared" si="15"/>
        <v>NO BONUS</v>
      </c>
      <c r="N99" s="13" t="str">
        <f t="shared" si="16"/>
        <v>NO BONUS</v>
      </c>
    </row>
    <row r="100" spans="1:14" x14ac:dyDescent="0.25">
      <c r="A100" s="13">
        <v>95</v>
      </c>
      <c r="B100" s="13">
        <v>32</v>
      </c>
      <c r="C100" s="13" t="str">
        <f t="shared" si="9"/>
        <v>Adult</v>
      </c>
      <c r="D100" s="13" t="s">
        <v>6</v>
      </c>
      <c r="E100" s="13" t="s">
        <v>7</v>
      </c>
      <c r="F100" s="13" t="s">
        <v>8</v>
      </c>
      <c r="G100" s="13">
        <v>5</v>
      </c>
      <c r="H100" s="13" t="str">
        <f t="shared" si="10"/>
        <v>Experienced</v>
      </c>
      <c r="I100" s="65" t="str">
        <f t="shared" si="11"/>
        <v>60000</v>
      </c>
      <c r="J100" s="43">
        <f t="shared" si="12"/>
        <v>18000</v>
      </c>
      <c r="K100" s="13" t="b">
        <f t="shared" si="13"/>
        <v>0</v>
      </c>
      <c r="L100" s="13" t="b">
        <f t="shared" si="14"/>
        <v>1</v>
      </c>
      <c r="M100" s="13" t="str">
        <f t="shared" si="15"/>
        <v>GET BONUS</v>
      </c>
      <c r="N100" s="13" t="str">
        <f t="shared" si="16"/>
        <v>NO BONUS</v>
      </c>
    </row>
    <row r="101" spans="1:14" x14ac:dyDescent="0.25">
      <c r="A101" s="13">
        <v>96</v>
      </c>
      <c r="B101" s="13">
        <v>32</v>
      </c>
      <c r="C101" s="13" t="str">
        <f t="shared" si="9"/>
        <v>Adult</v>
      </c>
      <c r="D101" s="13" t="s">
        <v>6</v>
      </c>
      <c r="E101" s="13" t="s">
        <v>7</v>
      </c>
      <c r="F101" s="13" t="s">
        <v>56</v>
      </c>
      <c r="G101" s="13">
        <v>5</v>
      </c>
      <c r="H101" s="13" t="str">
        <f t="shared" si="10"/>
        <v>Experienced</v>
      </c>
      <c r="I101" s="65" t="str">
        <f t="shared" si="11"/>
        <v>60000</v>
      </c>
      <c r="J101" s="43">
        <f t="shared" si="12"/>
        <v>18000</v>
      </c>
      <c r="K101" s="13" t="b">
        <f t="shared" si="13"/>
        <v>0</v>
      </c>
      <c r="L101" s="13" t="b">
        <f t="shared" si="14"/>
        <v>1</v>
      </c>
      <c r="M101" s="13" t="str">
        <f t="shared" si="15"/>
        <v>GET BONUS</v>
      </c>
      <c r="N101" s="13" t="str">
        <f t="shared" si="16"/>
        <v>NO BONUS</v>
      </c>
    </row>
    <row r="102" spans="1:14" x14ac:dyDescent="0.25">
      <c r="A102" s="13">
        <v>97</v>
      </c>
      <c r="B102" s="13">
        <v>32</v>
      </c>
      <c r="C102" s="13" t="str">
        <f t="shared" si="9"/>
        <v>Adult</v>
      </c>
      <c r="D102" s="13" t="s">
        <v>6</v>
      </c>
      <c r="E102" s="13" t="s">
        <v>10</v>
      </c>
      <c r="F102" s="13" t="s">
        <v>78</v>
      </c>
      <c r="G102" s="13">
        <v>6</v>
      </c>
      <c r="H102" s="13" t="str">
        <f t="shared" si="10"/>
        <v>Experienced</v>
      </c>
      <c r="I102" s="65" t="str">
        <f t="shared" si="11"/>
        <v>60000</v>
      </c>
      <c r="J102" s="43">
        <f t="shared" si="12"/>
        <v>18000</v>
      </c>
      <c r="K102" s="13" t="b">
        <f t="shared" si="13"/>
        <v>0</v>
      </c>
      <c r="L102" s="13" t="b">
        <f t="shared" si="14"/>
        <v>1</v>
      </c>
      <c r="M102" s="13" t="str">
        <f t="shared" si="15"/>
        <v>GET BONUS</v>
      </c>
      <c r="N102" s="13" t="str">
        <f t="shared" si="16"/>
        <v>NO BONUS</v>
      </c>
    </row>
    <row r="103" spans="1:14" x14ac:dyDescent="0.25">
      <c r="A103" s="13">
        <v>98</v>
      </c>
      <c r="B103" s="13">
        <v>32</v>
      </c>
      <c r="C103" s="13" t="str">
        <f t="shared" si="9"/>
        <v>Adult</v>
      </c>
      <c r="D103" s="13" t="s">
        <v>6</v>
      </c>
      <c r="E103" s="13" t="s">
        <v>10</v>
      </c>
      <c r="F103" s="13" t="s">
        <v>108</v>
      </c>
      <c r="G103" s="13">
        <v>6</v>
      </c>
      <c r="H103" s="13" t="str">
        <f t="shared" si="10"/>
        <v>Experienced</v>
      </c>
      <c r="I103" s="65" t="str">
        <f t="shared" si="11"/>
        <v>60000</v>
      </c>
      <c r="J103" s="43">
        <f t="shared" si="12"/>
        <v>18000</v>
      </c>
      <c r="K103" s="13" t="b">
        <f t="shared" si="13"/>
        <v>0</v>
      </c>
      <c r="L103" s="13" t="b">
        <f t="shared" si="14"/>
        <v>1</v>
      </c>
      <c r="M103" s="13" t="str">
        <f t="shared" si="15"/>
        <v>GET BONUS</v>
      </c>
      <c r="N103" s="13" t="str">
        <f t="shared" si="16"/>
        <v>NO BONUS</v>
      </c>
    </row>
    <row r="104" spans="1:14" x14ac:dyDescent="0.25">
      <c r="A104" s="13">
        <v>99</v>
      </c>
      <c r="B104" s="13">
        <v>32</v>
      </c>
      <c r="C104" s="13" t="str">
        <f t="shared" si="9"/>
        <v>Adult</v>
      </c>
      <c r="D104" s="13" t="s">
        <v>9</v>
      </c>
      <c r="E104" s="13" t="s">
        <v>7</v>
      </c>
      <c r="F104" s="13" t="s">
        <v>19</v>
      </c>
      <c r="G104" s="13">
        <v>4</v>
      </c>
      <c r="H104" s="13" t="str">
        <f t="shared" si="10"/>
        <v>Experienced</v>
      </c>
      <c r="I104" s="65" t="str">
        <f t="shared" si="11"/>
        <v>60000</v>
      </c>
      <c r="J104" s="43">
        <f t="shared" si="12"/>
        <v>18000</v>
      </c>
      <c r="K104" s="13" t="b">
        <f t="shared" si="13"/>
        <v>1</v>
      </c>
      <c r="L104" s="13" t="b">
        <f t="shared" si="14"/>
        <v>0</v>
      </c>
      <c r="M104" s="13" t="str">
        <f t="shared" si="15"/>
        <v>GET BONUS</v>
      </c>
      <c r="N104" s="13" t="str">
        <f t="shared" si="16"/>
        <v>NO BONUS</v>
      </c>
    </row>
    <row r="105" spans="1:14" x14ac:dyDescent="0.25">
      <c r="A105" s="13">
        <v>100</v>
      </c>
      <c r="B105" s="13">
        <v>32</v>
      </c>
      <c r="C105" s="13" t="str">
        <f t="shared" si="9"/>
        <v>Adult</v>
      </c>
      <c r="D105" s="13" t="s">
        <v>9</v>
      </c>
      <c r="E105" s="13" t="s">
        <v>7</v>
      </c>
      <c r="F105" s="13" t="s">
        <v>136</v>
      </c>
      <c r="G105" s="13">
        <v>5</v>
      </c>
      <c r="H105" s="13" t="str">
        <f t="shared" si="10"/>
        <v>Experienced</v>
      </c>
      <c r="I105" s="65" t="str">
        <f t="shared" si="11"/>
        <v>60000</v>
      </c>
      <c r="J105" s="43">
        <f t="shared" si="12"/>
        <v>18000</v>
      </c>
      <c r="K105" s="13" t="b">
        <f t="shared" si="13"/>
        <v>1</v>
      </c>
      <c r="L105" s="13" t="b">
        <f t="shared" si="14"/>
        <v>0</v>
      </c>
      <c r="M105" s="13" t="str">
        <f t="shared" si="15"/>
        <v>GET BONUS</v>
      </c>
      <c r="N105" s="13" t="str">
        <f t="shared" si="16"/>
        <v>NO BONUS</v>
      </c>
    </row>
    <row r="106" spans="1:14" x14ac:dyDescent="0.25">
      <c r="A106" s="13">
        <v>101</v>
      </c>
      <c r="B106" s="13">
        <v>32</v>
      </c>
      <c r="C106" s="13" t="str">
        <f t="shared" si="9"/>
        <v>Adult</v>
      </c>
      <c r="D106" s="13" t="s">
        <v>9</v>
      </c>
      <c r="E106" s="13" t="s">
        <v>7</v>
      </c>
      <c r="F106" s="13" t="s">
        <v>86</v>
      </c>
      <c r="G106" s="13">
        <v>5</v>
      </c>
      <c r="H106" s="13" t="str">
        <f t="shared" si="10"/>
        <v>Experienced</v>
      </c>
      <c r="I106" s="65" t="str">
        <f t="shared" si="11"/>
        <v>60000</v>
      </c>
      <c r="J106" s="43">
        <f t="shared" si="12"/>
        <v>18000</v>
      </c>
      <c r="K106" s="13" t="b">
        <f t="shared" si="13"/>
        <v>1</v>
      </c>
      <c r="L106" s="13" t="b">
        <f t="shared" si="14"/>
        <v>0</v>
      </c>
      <c r="M106" s="13" t="str">
        <f t="shared" si="15"/>
        <v>GET BONUS</v>
      </c>
      <c r="N106" s="13" t="str">
        <f t="shared" si="16"/>
        <v>NO BONUS</v>
      </c>
    </row>
    <row r="107" spans="1:14" x14ac:dyDescent="0.25">
      <c r="A107" s="13">
        <v>102</v>
      </c>
      <c r="B107" s="13">
        <v>32</v>
      </c>
      <c r="C107" s="13" t="str">
        <f t="shared" si="9"/>
        <v>Adult</v>
      </c>
      <c r="D107" s="13" t="s">
        <v>6</v>
      </c>
      <c r="E107" s="13" t="s">
        <v>7</v>
      </c>
      <c r="F107" s="13" t="s">
        <v>121</v>
      </c>
      <c r="G107" s="13">
        <v>3</v>
      </c>
      <c r="H107" s="13" t="str">
        <f t="shared" si="10"/>
        <v>Fresher</v>
      </c>
      <c r="I107" s="65" t="str">
        <f t="shared" si="11"/>
        <v>30000</v>
      </c>
      <c r="J107" s="43">
        <f t="shared" si="12"/>
        <v>9000</v>
      </c>
      <c r="K107" s="13" t="b">
        <f t="shared" si="13"/>
        <v>1</v>
      </c>
      <c r="L107" s="13" t="b">
        <f t="shared" si="14"/>
        <v>0</v>
      </c>
      <c r="M107" s="13" t="str">
        <f t="shared" si="15"/>
        <v>NO BONUS</v>
      </c>
      <c r="N107" s="13" t="str">
        <f t="shared" si="16"/>
        <v>NO BONUS</v>
      </c>
    </row>
    <row r="108" spans="1:14" x14ac:dyDescent="0.25">
      <c r="A108" s="13">
        <v>103</v>
      </c>
      <c r="B108" s="13">
        <v>32</v>
      </c>
      <c r="C108" s="13" t="str">
        <f t="shared" si="9"/>
        <v>Adult</v>
      </c>
      <c r="D108" s="13" t="s">
        <v>9</v>
      </c>
      <c r="E108" s="13" t="s">
        <v>7</v>
      </c>
      <c r="F108" s="13" t="s">
        <v>122</v>
      </c>
      <c r="G108" s="13">
        <v>4</v>
      </c>
      <c r="H108" s="13" t="str">
        <f t="shared" si="10"/>
        <v>Experienced</v>
      </c>
      <c r="I108" s="65" t="str">
        <f t="shared" si="11"/>
        <v>60000</v>
      </c>
      <c r="J108" s="43">
        <f t="shared" si="12"/>
        <v>18000</v>
      </c>
      <c r="K108" s="13" t="b">
        <f t="shared" si="13"/>
        <v>1</v>
      </c>
      <c r="L108" s="13" t="b">
        <f t="shared" si="14"/>
        <v>0</v>
      </c>
      <c r="M108" s="13" t="str">
        <f t="shared" si="15"/>
        <v>GET BONUS</v>
      </c>
      <c r="N108" s="13" t="str">
        <f t="shared" si="16"/>
        <v>NO BONUS</v>
      </c>
    </row>
    <row r="109" spans="1:14" x14ac:dyDescent="0.25">
      <c r="A109" s="13">
        <v>104</v>
      </c>
      <c r="B109" s="13">
        <v>32</v>
      </c>
      <c r="C109" s="13" t="str">
        <f t="shared" si="9"/>
        <v>Adult</v>
      </c>
      <c r="D109" s="13" t="s">
        <v>6</v>
      </c>
      <c r="E109" s="13" t="s">
        <v>7</v>
      </c>
      <c r="F109" s="13" t="s">
        <v>155</v>
      </c>
      <c r="G109" s="13">
        <v>4</v>
      </c>
      <c r="H109" s="13" t="str">
        <f t="shared" si="10"/>
        <v>Experienced</v>
      </c>
      <c r="I109" s="65" t="str">
        <f t="shared" si="11"/>
        <v>60000</v>
      </c>
      <c r="J109" s="43">
        <f t="shared" si="12"/>
        <v>18000</v>
      </c>
      <c r="K109" s="13" t="b">
        <f t="shared" si="13"/>
        <v>0</v>
      </c>
      <c r="L109" s="13" t="b">
        <f t="shared" si="14"/>
        <v>1</v>
      </c>
      <c r="M109" s="13" t="str">
        <f t="shared" si="15"/>
        <v>GET BONUS</v>
      </c>
      <c r="N109" s="13" t="str">
        <f t="shared" si="16"/>
        <v>NO BONUS</v>
      </c>
    </row>
    <row r="110" spans="1:14" x14ac:dyDescent="0.25">
      <c r="A110" s="13">
        <v>105</v>
      </c>
      <c r="B110" s="13">
        <v>32</v>
      </c>
      <c r="C110" s="13" t="str">
        <f t="shared" si="9"/>
        <v>Adult</v>
      </c>
      <c r="D110" s="13" t="s">
        <v>6</v>
      </c>
      <c r="E110" s="13" t="s">
        <v>7</v>
      </c>
      <c r="F110" s="13" t="s">
        <v>183</v>
      </c>
      <c r="G110" s="13">
        <v>4</v>
      </c>
      <c r="H110" s="13" t="str">
        <f t="shared" si="10"/>
        <v>Experienced</v>
      </c>
      <c r="I110" s="65" t="str">
        <f t="shared" si="11"/>
        <v>60000</v>
      </c>
      <c r="J110" s="43">
        <f t="shared" si="12"/>
        <v>18000</v>
      </c>
      <c r="K110" s="13" t="b">
        <f t="shared" si="13"/>
        <v>0</v>
      </c>
      <c r="L110" s="13" t="b">
        <f t="shared" si="14"/>
        <v>1</v>
      </c>
      <c r="M110" s="13" t="str">
        <f t="shared" si="15"/>
        <v>GET BONUS</v>
      </c>
      <c r="N110" s="13" t="str">
        <f t="shared" si="16"/>
        <v>NO BONUS</v>
      </c>
    </row>
    <row r="111" spans="1:14" x14ac:dyDescent="0.25">
      <c r="A111" s="13">
        <v>106</v>
      </c>
      <c r="B111" s="13">
        <v>32</v>
      </c>
      <c r="C111" s="13" t="str">
        <f t="shared" si="9"/>
        <v>Adult</v>
      </c>
      <c r="D111" s="13" t="s">
        <v>6</v>
      </c>
      <c r="E111" s="13" t="s">
        <v>7</v>
      </c>
      <c r="F111" s="13" t="s">
        <v>150</v>
      </c>
      <c r="G111" s="13">
        <v>3</v>
      </c>
      <c r="H111" s="13" t="str">
        <f t="shared" si="10"/>
        <v>Fresher</v>
      </c>
      <c r="I111" s="65" t="str">
        <f t="shared" si="11"/>
        <v>30000</v>
      </c>
      <c r="J111" s="43">
        <f t="shared" si="12"/>
        <v>9000</v>
      </c>
      <c r="K111" s="13" t="b">
        <f t="shared" si="13"/>
        <v>1</v>
      </c>
      <c r="L111" s="13" t="b">
        <f t="shared" si="14"/>
        <v>0</v>
      </c>
      <c r="M111" s="13" t="str">
        <f t="shared" si="15"/>
        <v>NO BONUS</v>
      </c>
      <c r="N111" s="13" t="str">
        <f t="shared" si="16"/>
        <v>NO BONUS</v>
      </c>
    </row>
    <row r="112" spans="1:14" x14ac:dyDescent="0.25">
      <c r="A112" s="13">
        <v>107</v>
      </c>
      <c r="B112" s="13">
        <v>33</v>
      </c>
      <c r="C112" s="13" t="str">
        <f t="shared" si="9"/>
        <v>Adult</v>
      </c>
      <c r="D112" s="13" t="s">
        <v>9</v>
      </c>
      <c r="E112" s="13" t="s">
        <v>10</v>
      </c>
      <c r="F112" s="13" t="s">
        <v>27</v>
      </c>
      <c r="G112" s="13">
        <v>7</v>
      </c>
      <c r="H112" s="13" t="str">
        <f t="shared" si="10"/>
        <v>Experienced</v>
      </c>
      <c r="I112" s="65" t="str">
        <f t="shared" si="11"/>
        <v>60000</v>
      </c>
      <c r="J112" s="43">
        <f t="shared" si="12"/>
        <v>18000</v>
      </c>
      <c r="K112" s="13" t="b">
        <f t="shared" si="13"/>
        <v>1</v>
      </c>
      <c r="L112" s="13" t="b">
        <f t="shared" si="14"/>
        <v>0</v>
      </c>
      <c r="M112" s="13" t="str">
        <f t="shared" si="15"/>
        <v>GET BONUS</v>
      </c>
      <c r="N112" s="13" t="str">
        <f t="shared" si="16"/>
        <v>GET BONUS</v>
      </c>
    </row>
    <row r="113" spans="1:14" x14ac:dyDescent="0.25">
      <c r="A113" s="13">
        <v>108</v>
      </c>
      <c r="B113" s="13">
        <v>33</v>
      </c>
      <c r="C113" s="13" t="str">
        <f t="shared" si="9"/>
        <v>Adult</v>
      </c>
      <c r="D113" s="13" t="s">
        <v>6</v>
      </c>
      <c r="E113" s="13" t="s">
        <v>10</v>
      </c>
      <c r="F113" s="13" t="s">
        <v>40</v>
      </c>
      <c r="G113" s="13">
        <v>6</v>
      </c>
      <c r="H113" s="13" t="str">
        <f t="shared" si="10"/>
        <v>Experienced</v>
      </c>
      <c r="I113" s="65" t="str">
        <f t="shared" si="11"/>
        <v>60000</v>
      </c>
      <c r="J113" s="43">
        <f t="shared" si="12"/>
        <v>18000</v>
      </c>
      <c r="K113" s="13" t="b">
        <f t="shared" si="13"/>
        <v>0</v>
      </c>
      <c r="L113" s="13" t="b">
        <f t="shared" si="14"/>
        <v>1</v>
      </c>
      <c r="M113" s="13" t="str">
        <f t="shared" si="15"/>
        <v>GET BONUS</v>
      </c>
      <c r="N113" s="13" t="str">
        <f t="shared" si="16"/>
        <v>NO BONUS</v>
      </c>
    </row>
    <row r="114" spans="1:14" x14ac:dyDescent="0.25">
      <c r="A114" s="13">
        <v>109</v>
      </c>
      <c r="B114" s="13">
        <v>33</v>
      </c>
      <c r="C114" s="13" t="str">
        <f t="shared" si="9"/>
        <v>Adult</v>
      </c>
      <c r="D114" s="13" t="s">
        <v>6</v>
      </c>
      <c r="E114" s="13" t="s">
        <v>10</v>
      </c>
      <c r="F114" s="13" t="s">
        <v>60</v>
      </c>
      <c r="G114" s="13">
        <v>7</v>
      </c>
      <c r="H114" s="13" t="str">
        <f t="shared" si="10"/>
        <v>Experienced</v>
      </c>
      <c r="I114" s="65" t="str">
        <f t="shared" si="11"/>
        <v>60000</v>
      </c>
      <c r="J114" s="43">
        <f t="shared" si="12"/>
        <v>18000</v>
      </c>
      <c r="K114" s="13" t="b">
        <f t="shared" si="13"/>
        <v>0</v>
      </c>
      <c r="L114" s="13" t="b">
        <f t="shared" si="14"/>
        <v>1</v>
      </c>
      <c r="M114" s="13" t="str">
        <f t="shared" si="15"/>
        <v>GET BONUS</v>
      </c>
      <c r="N114" s="13" t="str">
        <f t="shared" si="16"/>
        <v>NO BONUS</v>
      </c>
    </row>
    <row r="115" spans="1:14" x14ac:dyDescent="0.25">
      <c r="A115" s="13">
        <v>110</v>
      </c>
      <c r="B115" s="13">
        <v>33</v>
      </c>
      <c r="C115" s="13" t="str">
        <f t="shared" si="9"/>
        <v>Adult</v>
      </c>
      <c r="D115" s="13" t="s">
        <v>6</v>
      </c>
      <c r="E115" s="13" t="s">
        <v>7</v>
      </c>
      <c r="F115" s="13" t="s">
        <v>74</v>
      </c>
      <c r="G115" s="13">
        <v>6</v>
      </c>
      <c r="H115" s="13" t="str">
        <f t="shared" si="10"/>
        <v>Experienced</v>
      </c>
      <c r="I115" s="65" t="str">
        <f t="shared" si="11"/>
        <v>60000</v>
      </c>
      <c r="J115" s="43">
        <f t="shared" si="12"/>
        <v>18000</v>
      </c>
      <c r="K115" s="13" t="b">
        <f t="shared" si="13"/>
        <v>0</v>
      </c>
      <c r="L115" s="13" t="b">
        <f t="shared" si="14"/>
        <v>1</v>
      </c>
      <c r="M115" s="13" t="str">
        <f t="shared" si="15"/>
        <v>GET BONUS</v>
      </c>
      <c r="N115" s="13" t="str">
        <f t="shared" si="16"/>
        <v>NO BONUS</v>
      </c>
    </row>
    <row r="116" spans="1:14" x14ac:dyDescent="0.25">
      <c r="A116" s="13">
        <v>111</v>
      </c>
      <c r="B116" s="13">
        <v>33</v>
      </c>
      <c r="C116" s="13" t="str">
        <f t="shared" si="9"/>
        <v>Adult</v>
      </c>
      <c r="D116" s="13" t="s">
        <v>6</v>
      </c>
      <c r="E116" s="13" t="s">
        <v>7</v>
      </c>
      <c r="F116" s="13" t="s">
        <v>31</v>
      </c>
      <c r="G116" s="13">
        <v>7</v>
      </c>
      <c r="H116" s="13" t="str">
        <f t="shared" si="10"/>
        <v>Experienced</v>
      </c>
      <c r="I116" s="65" t="str">
        <f t="shared" si="11"/>
        <v>60000</v>
      </c>
      <c r="J116" s="43">
        <f t="shared" si="12"/>
        <v>18000</v>
      </c>
      <c r="K116" s="13" t="b">
        <f t="shared" si="13"/>
        <v>0</v>
      </c>
      <c r="L116" s="13" t="b">
        <f t="shared" si="14"/>
        <v>1</v>
      </c>
      <c r="M116" s="13" t="str">
        <f t="shared" si="15"/>
        <v>GET BONUS</v>
      </c>
      <c r="N116" s="13" t="str">
        <f t="shared" si="16"/>
        <v>NO BONUS</v>
      </c>
    </row>
    <row r="117" spans="1:14" x14ac:dyDescent="0.25">
      <c r="A117" s="13">
        <v>112</v>
      </c>
      <c r="B117" s="13">
        <v>33</v>
      </c>
      <c r="C117" s="13" t="str">
        <f t="shared" si="9"/>
        <v>Adult</v>
      </c>
      <c r="D117" s="13" t="s">
        <v>6</v>
      </c>
      <c r="E117" s="13" t="s">
        <v>7</v>
      </c>
      <c r="F117" s="13" t="s">
        <v>98</v>
      </c>
      <c r="G117" s="13">
        <v>5</v>
      </c>
      <c r="H117" s="13" t="str">
        <f t="shared" si="10"/>
        <v>Experienced</v>
      </c>
      <c r="I117" s="65" t="str">
        <f t="shared" si="11"/>
        <v>60000</v>
      </c>
      <c r="J117" s="43">
        <f t="shared" si="12"/>
        <v>18000</v>
      </c>
      <c r="K117" s="13" t="b">
        <f t="shared" si="13"/>
        <v>0</v>
      </c>
      <c r="L117" s="13" t="b">
        <f t="shared" si="14"/>
        <v>1</v>
      </c>
      <c r="M117" s="13" t="str">
        <f t="shared" si="15"/>
        <v>GET BONUS</v>
      </c>
      <c r="N117" s="13" t="str">
        <f t="shared" si="16"/>
        <v>NO BONUS</v>
      </c>
    </row>
    <row r="118" spans="1:14" x14ac:dyDescent="0.25">
      <c r="A118" s="13">
        <v>113</v>
      </c>
      <c r="B118" s="13">
        <v>33</v>
      </c>
      <c r="C118" s="13" t="str">
        <f t="shared" si="9"/>
        <v>Adult</v>
      </c>
      <c r="D118" s="13" t="s">
        <v>9</v>
      </c>
      <c r="E118" s="13" t="s">
        <v>7</v>
      </c>
      <c r="F118" s="13" t="s">
        <v>114</v>
      </c>
      <c r="G118" s="13">
        <v>5</v>
      </c>
      <c r="H118" s="13" t="str">
        <f t="shared" si="10"/>
        <v>Experienced</v>
      </c>
      <c r="I118" s="65" t="str">
        <f t="shared" si="11"/>
        <v>60000</v>
      </c>
      <c r="J118" s="43">
        <f t="shared" si="12"/>
        <v>18000</v>
      </c>
      <c r="K118" s="13" t="b">
        <f t="shared" si="13"/>
        <v>1</v>
      </c>
      <c r="L118" s="13" t="b">
        <f t="shared" si="14"/>
        <v>0</v>
      </c>
      <c r="M118" s="13" t="str">
        <f t="shared" si="15"/>
        <v>GET BONUS</v>
      </c>
      <c r="N118" s="13" t="str">
        <f t="shared" si="16"/>
        <v>NO BONUS</v>
      </c>
    </row>
    <row r="119" spans="1:14" x14ac:dyDescent="0.25">
      <c r="A119" s="13">
        <v>114</v>
      </c>
      <c r="B119" s="13">
        <v>33</v>
      </c>
      <c r="C119" s="13" t="str">
        <f t="shared" si="9"/>
        <v>Adult</v>
      </c>
      <c r="D119" s="13" t="s">
        <v>6</v>
      </c>
      <c r="E119" s="13" t="s">
        <v>7</v>
      </c>
      <c r="F119" s="13" t="s">
        <v>93</v>
      </c>
      <c r="G119" s="13">
        <v>5</v>
      </c>
      <c r="H119" s="13" t="str">
        <f t="shared" si="10"/>
        <v>Experienced</v>
      </c>
      <c r="I119" s="65" t="str">
        <f t="shared" si="11"/>
        <v>60000</v>
      </c>
      <c r="J119" s="43">
        <f t="shared" si="12"/>
        <v>18000</v>
      </c>
      <c r="K119" s="13" t="b">
        <f t="shared" si="13"/>
        <v>0</v>
      </c>
      <c r="L119" s="13" t="b">
        <f t="shared" si="14"/>
        <v>1</v>
      </c>
      <c r="M119" s="13" t="str">
        <f t="shared" si="15"/>
        <v>GET BONUS</v>
      </c>
      <c r="N119" s="13" t="str">
        <f t="shared" si="16"/>
        <v>NO BONUS</v>
      </c>
    </row>
    <row r="120" spans="1:14" x14ac:dyDescent="0.25">
      <c r="A120" s="13">
        <v>115</v>
      </c>
      <c r="B120" s="13">
        <v>33</v>
      </c>
      <c r="C120" s="13" t="str">
        <f t="shared" si="9"/>
        <v>Adult</v>
      </c>
      <c r="D120" s="13" t="s">
        <v>6</v>
      </c>
      <c r="E120" s="13" t="s">
        <v>10</v>
      </c>
      <c r="F120" s="13" t="s">
        <v>137</v>
      </c>
      <c r="G120" s="13">
        <v>7</v>
      </c>
      <c r="H120" s="13" t="str">
        <f t="shared" si="10"/>
        <v>Experienced</v>
      </c>
      <c r="I120" s="65" t="str">
        <f t="shared" si="11"/>
        <v>60000</v>
      </c>
      <c r="J120" s="43">
        <f t="shared" si="12"/>
        <v>18000</v>
      </c>
      <c r="K120" s="13" t="b">
        <f t="shared" si="13"/>
        <v>0</v>
      </c>
      <c r="L120" s="13" t="b">
        <f t="shared" si="14"/>
        <v>1</v>
      </c>
      <c r="M120" s="13" t="str">
        <f t="shared" si="15"/>
        <v>GET BONUS</v>
      </c>
      <c r="N120" s="13" t="str">
        <f t="shared" si="16"/>
        <v>NO BONUS</v>
      </c>
    </row>
    <row r="121" spans="1:14" x14ac:dyDescent="0.25">
      <c r="A121" s="13">
        <v>116</v>
      </c>
      <c r="B121" s="13">
        <v>33</v>
      </c>
      <c r="C121" s="13" t="str">
        <f t="shared" si="9"/>
        <v>Adult</v>
      </c>
      <c r="D121" s="13" t="s">
        <v>9</v>
      </c>
      <c r="E121" s="13" t="s">
        <v>10</v>
      </c>
      <c r="F121" s="13" t="s">
        <v>73</v>
      </c>
      <c r="G121" s="13">
        <v>6</v>
      </c>
      <c r="H121" s="13" t="str">
        <f t="shared" si="10"/>
        <v>Experienced</v>
      </c>
      <c r="I121" s="65" t="str">
        <f t="shared" si="11"/>
        <v>60000</v>
      </c>
      <c r="J121" s="43">
        <f t="shared" si="12"/>
        <v>18000</v>
      </c>
      <c r="K121" s="13" t="b">
        <f t="shared" si="13"/>
        <v>1</v>
      </c>
      <c r="L121" s="13" t="b">
        <f t="shared" si="14"/>
        <v>0</v>
      </c>
      <c r="M121" s="13" t="str">
        <f t="shared" si="15"/>
        <v>GET BONUS</v>
      </c>
      <c r="N121" s="13" t="str">
        <f t="shared" si="16"/>
        <v>GET BONUS</v>
      </c>
    </row>
    <row r="122" spans="1:14" x14ac:dyDescent="0.25">
      <c r="A122" s="13">
        <v>117</v>
      </c>
      <c r="B122" s="13">
        <v>33</v>
      </c>
      <c r="C122" s="13" t="str">
        <f t="shared" si="9"/>
        <v>Adult</v>
      </c>
      <c r="D122" s="13" t="s">
        <v>6</v>
      </c>
      <c r="E122" s="13" t="s">
        <v>7</v>
      </c>
      <c r="F122" s="13" t="s">
        <v>173</v>
      </c>
      <c r="G122" s="13">
        <v>7</v>
      </c>
      <c r="H122" s="13" t="str">
        <f t="shared" si="10"/>
        <v>Experienced</v>
      </c>
      <c r="I122" s="65" t="str">
        <f t="shared" si="11"/>
        <v>60000</v>
      </c>
      <c r="J122" s="43">
        <f t="shared" si="12"/>
        <v>18000</v>
      </c>
      <c r="K122" s="13" t="b">
        <f t="shared" si="13"/>
        <v>0</v>
      </c>
      <c r="L122" s="13" t="b">
        <f t="shared" si="14"/>
        <v>1</v>
      </c>
      <c r="M122" s="13" t="str">
        <f t="shared" si="15"/>
        <v>GET BONUS</v>
      </c>
      <c r="N122" s="13" t="str">
        <f t="shared" si="16"/>
        <v>NO BONUS</v>
      </c>
    </row>
    <row r="123" spans="1:14" x14ac:dyDescent="0.25">
      <c r="A123" s="13">
        <v>118</v>
      </c>
      <c r="B123" s="13">
        <v>33</v>
      </c>
      <c r="C123" s="13" t="str">
        <f t="shared" si="9"/>
        <v>Adult</v>
      </c>
      <c r="D123" s="13" t="s">
        <v>9</v>
      </c>
      <c r="E123" s="13" t="s">
        <v>7</v>
      </c>
      <c r="F123" s="13" t="s">
        <v>174</v>
      </c>
      <c r="G123" s="13">
        <v>5</v>
      </c>
      <c r="H123" s="13" t="str">
        <f t="shared" si="10"/>
        <v>Experienced</v>
      </c>
      <c r="I123" s="65" t="str">
        <f t="shared" si="11"/>
        <v>60000</v>
      </c>
      <c r="J123" s="43">
        <f t="shared" si="12"/>
        <v>18000</v>
      </c>
      <c r="K123" s="13" t="b">
        <f t="shared" si="13"/>
        <v>1</v>
      </c>
      <c r="L123" s="13" t="b">
        <f t="shared" si="14"/>
        <v>0</v>
      </c>
      <c r="M123" s="13" t="str">
        <f t="shared" si="15"/>
        <v>GET BONUS</v>
      </c>
      <c r="N123" s="13" t="str">
        <f t="shared" si="16"/>
        <v>NO BONUS</v>
      </c>
    </row>
    <row r="124" spans="1:14" x14ac:dyDescent="0.25">
      <c r="A124" s="13">
        <v>119</v>
      </c>
      <c r="B124" s="13">
        <v>33</v>
      </c>
      <c r="C124" s="13" t="str">
        <f t="shared" si="9"/>
        <v>Adult</v>
      </c>
      <c r="D124" s="13" t="s">
        <v>9</v>
      </c>
      <c r="E124" s="13" t="s">
        <v>7</v>
      </c>
      <c r="F124" s="13" t="s">
        <v>114</v>
      </c>
      <c r="G124" s="13">
        <v>5</v>
      </c>
      <c r="H124" s="13" t="str">
        <f t="shared" si="10"/>
        <v>Experienced</v>
      </c>
      <c r="I124" s="65" t="str">
        <f t="shared" si="11"/>
        <v>60000</v>
      </c>
      <c r="J124" s="43">
        <f t="shared" si="12"/>
        <v>18000</v>
      </c>
      <c r="K124" s="13" t="b">
        <f t="shared" si="13"/>
        <v>1</v>
      </c>
      <c r="L124" s="13" t="b">
        <f t="shared" si="14"/>
        <v>0</v>
      </c>
      <c r="M124" s="13" t="str">
        <f t="shared" si="15"/>
        <v>GET BONUS</v>
      </c>
      <c r="N124" s="13" t="str">
        <f t="shared" si="16"/>
        <v>NO BONUS</v>
      </c>
    </row>
    <row r="125" spans="1:14" x14ac:dyDescent="0.25">
      <c r="A125" s="13">
        <v>120</v>
      </c>
      <c r="B125" s="13">
        <v>33</v>
      </c>
      <c r="C125" s="13" t="str">
        <f t="shared" si="9"/>
        <v>Adult</v>
      </c>
      <c r="D125" s="13" t="s">
        <v>6</v>
      </c>
      <c r="E125" s="13" t="s">
        <v>7</v>
      </c>
      <c r="F125" s="13" t="s">
        <v>174</v>
      </c>
      <c r="G125" s="13">
        <v>4</v>
      </c>
      <c r="H125" s="13" t="str">
        <f t="shared" si="10"/>
        <v>Experienced</v>
      </c>
      <c r="I125" s="65" t="str">
        <f t="shared" si="11"/>
        <v>60000</v>
      </c>
      <c r="J125" s="43">
        <f t="shared" si="12"/>
        <v>18000</v>
      </c>
      <c r="K125" s="13" t="b">
        <f t="shared" si="13"/>
        <v>0</v>
      </c>
      <c r="L125" s="13" t="b">
        <f t="shared" si="14"/>
        <v>1</v>
      </c>
      <c r="M125" s="13" t="str">
        <f t="shared" si="15"/>
        <v>GET BONUS</v>
      </c>
      <c r="N125" s="13" t="str">
        <f t="shared" si="16"/>
        <v>NO BONUS</v>
      </c>
    </row>
    <row r="126" spans="1:14" x14ac:dyDescent="0.25">
      <c r="A126" s="13">
        <v>121</v>
      </c>
      <c r="B126" s="13">
        <v>33</v>
      </c>
      <c r="C126" s="13" t="str">
        <f t="shared" si="9"/>
        <v>Adult</v>
      </c>
      <c r="D126" s="13" t="s">
        <v>6</v>
      </c>
      <c r="E126" s="13" t="s">
        <v>7</v>
      </c>
      <c r="F126" s="13" t="s">
        <v>125</v>
      </c>
      <c r="G126" s="13">
        <v>4</v>
      </c>
      <c r="H126" s="13" t="str">
        <f t="shared" si="10"/>
        <v>Experienced</v>
      </c>
      <c r="I126" s="65" t="str">
        <f t="shared" si="11"/>
        <v>60000</v>
      </c>
      <c r="J126" s="43">
        <f t="shared" si="12"/>
        <v>18000</v>
      </c>
      <c r="K126" s="13" t="b">
        <f t="shared" si="13"/>
        <v>0</v>
      </c>
      <c r="L126" s="13" t="b">
        <f t="shared" si="14"/>
        <v>1</v>
      </c>
      <c r="M126" s="13" t="str">
        <f t="shared" si="15"/>
        <v>GET BONUS</v>
      </c>
      <c r="N126" s="13" t="str">
        <f t="shared" si="16"/>
        <v>NO BONUS</v>
      </c>
    </row>
    <row r="127" spans="1:14" x14ac:dyDescent="0.25">
      <c r="A127" s="13">
        <v>122</v>
      </c>
      <c r="B127" s="13">
        <v>33</v>
      </c>
      <c r="C127" s="13" t="str">
        <f t="shared" si="9"/>
        <v>Adult</v>
      </c>
      <c r="D127" s="13" t="s">
        <v>6</v>
      </c>
      <c r="E127" s="13" t="s">
        <v>7</v>
      </c>
      <c r="F127" s="13" t="s">
        <v>136</v>
      </c>
      <c r="G127" s="13">
        <v>4</v>
      </c>
      <c r="H127" s="13" t="str">
        <f t="shared" si="10"/>
        <v>Experienced</v>
      </c>
      <c r="I127" s="65" t="str">
        <f t="shared" si="11"/>
        <v>60000</v>
      </c>
      <c r="J127" s="43">
        <f t="shared" si="12"/>
        <v>18000</v>
      </c>
      <c r="K127" s="13" t="b">
        <f t="shared" si="13"/>
        <v>0</v>
      </c>
      <c r="L127" s="13" t="b">
        <f t="shared" si="14"/>
        <v>1</v>
      </c>
      <c r="M127" s="13" t="str">
        <f t="shared" si="15"/>
        <v>GET BONUS</v>
      </c>
      <c r="N127" s="13" t="str">
        <f t="shared" si="16"/>
        <v>NO BONUS</v>
      </c>
    </row>
    <row r="128" spans="1:14" x14ac:dyDescent="0.25">
      <c r="A128" s="13">
        <v>123</v>
      </c>
      <c r="B128" s="13">
        <v>33</v>
      </c>
      <c r="C128" s="13" t="str">
        <f t="shared" si="9"/>
        <v>Adult</v>
      </c>
      <c r="D128" s="13" t="s">
        <v>9</v>
      </c>
      <c r="E128" s="13" t="s">
        <v>7</v>
      </c>
      <c r="F128" s="13" t="s">
        <v>122</v>
      </c>
      <c r="G128" s="13">
        <v>5</v>
      </c>
      <c r="H128" s="13" t="str">
        <f t="shared" si="10"/>
        <v>Experienced</v>
      </c>
      <c r="I128" s="65" t="str">
        <f t="shared" si="11"/>
        <v>60000</v>
      </c>
      <c r="J128" s="43">
        <f t="shared" si="12"/>
        <v>18000</v>
      </c>
      <c r="K128" s="13" t="b">
        <f t="shared" si="13"/>
        <v>1</v>
      </c>
      <c r="L128" s="13" t="b">
        <f t="shared" si="14"/>
        <v>0</v>
      </c>
      <c r="M128" s="13" t="str">
        <f t="shared" si="15"/>
        <v>GET BONUS</v>
      </c>
      <c r="N128" s="13" t="str">
        <f t="shared" si="16"/>
        <v>NO BONUS</v>
      </c>
    </row>
    <row r="129" spans="1:14" x14ac:dyDescent="0.25">
      <c r="A129" s="13">
        <v>124</v>
      </c>
      <c r="B129" s="13">
        <v>33</v>
      </c>
      <c r="C129" s="13" t="str">
        <f t="shared" si="9"/>
        <v>Adult</v>
      </c>
      <c r="D129" s="13" t="s">
        <v>6</v>
      </c>
      <c r="E129" s="13" t="s">
        <v>7</v>
      </c>
      <c r="F129" s="13" t="s">
        <v>125</v>
      </c>
      <c r="G129" s="13">
        <v>4</v>
      </c>
      <c r="H129" s="13" t="str">
        <f t="shared" si="10"/>
        <v>Experienced</v>
      </c>
      <c r="I129" s="65" t="str">
        <f t="shared" si="11"/>
        <v>60000</v>
      </c>
      <c r="J129" s="43">
        <f t="shared" si="12"/>
        <v>18000</v>
      </c>
      <c r="K129" s="13" t="b">
        <f t="shared" si="13"/>
        <v>0</v>
      </c>
      <c r="L129" s="13" t="b">
        <f t="shared" si="14"/>
        <v>1</v>
      </c>
      <c r="M129" s="13" t="str">
        <f t="shared" si="15"/>
        <v>GET BONUS</v>
      </c>
      <c r="N129" s="13" t="str">
        <f t="shared" si="16"/>
        <v>NO BONUS</v>
      </c>
    </row>
    <row r="130" spans="1:14" x14ac:dyDescent="0.25">
      <c r="A130" s="13">
        <v>125</v>
      </c>
      <c r="B130" s="13">
        <v>33</v>
      </c>
      <c r="C130" s="13" t="str">
        <f t="shared" si="9"/>
        <v>Adult</v>
      </c>
      <c r="D130" s="13" t="s">
        <v>6</v>
      </c>
      <c r="E130" s="13" t="s">
        <v>7</v>
      </c>
      <c r="F130" s="13" t="s">
        <v>155</v>
      </c>
      <c r="G130" s="13">
        <v>4</v>
      </c>
      <c r="H130" s="13" t="str">
        <f t="shared" si="10"/>
        <v>Experienced</v>
      </c>
      <c r="I130" s="65" t="str">
        <f t="shared" si="11"/>
        <v>60000</v>
      </c>
      <c r="J130" s="43">
        <f t="shared" si="12"/>
        <v>18000</v>
      </c>
      <c r="K130" s="13" t="b">
        <f t="shared" si="13"/>
        <v>0</v>
      </c>
      <c r="L130" s="13" t="b">
        <f t="shared" si="14"/>
        <v>1</v>
      </c>
      <c r="M130" s="13" t="str">
        <f t="shared" si="15"/>
        <v>GET BONUS</v>
      </c>
      <c r="N130" s="13" t="str">
        <f t="shared" si="16"/>
        <v>NO BONUS</v>
      </c>
    </row>
    <row r="131" spans="1:14" x14ac:dyDescent="0.25">
      <c r="A131" s="13">
        <v>126</v>
      </c>
      <c r="B131" s="13">
        <v>33</v>
      </c>
      <c r="C131" s="13" t="str">
        <f t="shared" si="9"/>
        <v>Adult</v>
      </c>
      <c r="D131" s="13" t="s">
        <v>6</v>
      </c>
      <c r="E131" s="13" t="s">
        <v>7</v>
      </c>
      <c r="F131" s="13" t="s">
        <v>127</v>
      </c>
      <c r="G131" s="13">
        <v>5</v>
      </c>
      <c r="H131" s="13" t="str">
        <f t="shared" si="10"/>
        <v>Experienced</v>
      </c>
      <c r="I131" s="65" t="str">
        <f t="shared" si="11"/>
        <v>60000</v>
      </c>
      <c r="J131" s="43">
        <f t="shared" si="12"/>
        <v>18000</v>
      </c>
      <c r="K131" s="13" t="b">
        <f t="shared" si="13"/>
        <v>0</v>
      </c>
      <c r="L131" s="13" t="b">
        <f t="shared" si="14"/>
        <v>1</v>
      </c>
      <c r="M131" s="13" t="str">
        <f t="shared" si="15"/>
        <v>GET BONUS</v>
      </c>
      <c r="N131" s="13" t="str">
        <f t="shared" si="16"/>
        <v>NO BONUS</v>
      </c>
    </row>
    <row r="132" spans="1:14" x14ac:dyDescent="0.25">
      <c r="A132" s="13">
        <v>127</v>
      </c>
      <c r="B132" s="13">
        <v>33</v>
      </c>
      <c r="C132" s="13" t="str">
        <f t="shared" si="9"/>
        <v>Adult</v>
      </c>
      <c r="D132" s="13" t="s">
        <v>6</v>
      </c>
      <c r="E132" s="13" t="s">
        <v>7</v>
      </c>
      <c r="F132" s="13" t="s">
        <v>125</v>
      </c>
      <c r="G132" s="13">
        <v>4</v>
      </c>
      <c r="H132" s="13" t="str">
        <f t="shared" si="10"/>
        <v>Experienced</v>
      </c>
      <c r="I132" s="65" t="str">
        <f t="shared" si="11"/>
        <v>60000</v>
      </c>
      <c r="J132" s="43">
        <f t="shared" si="12"/>
        <v>18000</v>
      </c>
      <c r="K132" s="13" t="b">
        <f t="shared" si="13"/>
        <v>0</v>
      </c>
      <c r="L132" s="13" t="b">
        <f t="shared" si="14"/>
        <v>1</v>
      </c>
      <c r="M132" s="13" t="str">
        <f t="shared" si="15"/>
        <v>GET BONUS</v>
      </c>
      <c r="N132" s="13" t="str">
        <f t="shared" si="16"/>
        <v>NO BONUS</v>
      </c>
    </row>
    <row r="133" spans="1:14" x14ac:dyDescent="0.25">
      <c r="A133" s="13">
        <v>128</v>
      </c>
      <c r="B133" s="13">
        <v>33</v>
      </c>
      <c r="C133" s="13" t="str">
        <f t="shared" si="9"/>
        <v>Adult</v>
      </c>
      <c r="D133" s="13" t="s">
        <v>6</v>
      </c>
      <c r="E133" s="13" t="s">
        <v>7</v>
      </c>
      <c r="F133" s="13" t="s">
        <v>155</v>
      </c>
      <c r="G133" s="13">
        <v>4</v>
      </c>
      <c r="H133" s="13" t="str">
        <f t="shared" si="10"/>
        <v>Experienced</v>
      </c>
      <c r="I133" s="65" t="str">
        <f t="shared" si="11"/>
        <v>60000</v>
      </c>
      <c r="J133" s="43">
        <f t="shared" si="12"/>
        <v>18000</v>
      </c>
      <c r="K133" s="13" t="b">
        <f t="shared" si="13"/>
        <v>0</v>
      </c>
      <c r="L133" s="13" t="b">
        <f t="shared" si="14"/>
        <v>1</v>
      </c>
      <c r="M133" s="13" t="str">
        <f t="shared" si="15"/>
        <v>GET BONUS</v>
      </c>
      <c r="N133" s="13" t="str">
        <f t="shared" si="16"/>
        <v>NO BONUS</v>
      </c>
    </row>
    <row r="134" spans="1:14" x14ac:dyDescent="0.25">
      <c r="A134" s="13">
        <v>129</v>
      </c>
      <c r="B134" s="13">
        <v>33</v>
      </c>
      <c r="C134" s="13" t="str">
        <f t="shared" ref="C134:C197" si="17">IF(B134&gt;=50,"Senior",IF(B134&gt;=25,"Adult","Teenager"))</f>
        <v>Adult</v>
      </c>
      <c r="D134" s="13" t="s">
        <v>6</v>
      </c>
      <c r="E134" s="13" t="s">
        <v>7</v>
      </c>
      <c r="F134" s="13" t="s">
        <v>127</v>
      </c>
      <c r="G134" s="13">
        <v>5</v>
      </c>
      <c r="H134" s="13" t="str">
        <f t="shared" si="10"/>
        <v>Experienced</v>
      </c>
      <c r="I134" s="65" t="str">
        <f t="shared" si="11"/>
        <v>60000</v>
      </c>
      <c r="J134" s="43">
        <f t="shared" si="12"/>
        <v>18000</v>
      </c>
      <c r="K134" s="13" t="b">
        <f t="shared" si="13"/>
        <v>0</v>
      </c>
      <c r="L134" s="13" t="b">
        <f t="shared" si="14"/>
        <v>1</v>
      </c>
      <c r="M134" s="13" t="str">
        <f t="shared" si="15"/>
        <v>GET BONUS</v>
      </c>
      <c r="N134" s="13" t="str">
        <f t="shared" si="16"/>
        <v>NO BONUS</v>
      </c>
    </row>
    <row r="135" spans="1:14" x14ac:dyDescent="0.25">
      <c r="A135" s="13">
        <v>130</v>
      </c>
      <c r="B135" s="13">
        <v>33</v>
      </c>
      <c r="C135" s="13" t="str">
        <f t="shared" si="17"/>
        <v>Adult</v>
      </c>
      <c r="D135" s="13" t="s">
        <v>6</v>
      </c>
      <c r="E135" s="13" t="s">
        <v>7</v>
      </c>
      <c r="F135" s="13" t="s">
        <v>125</v>
      </c>
      <c r="G135" s="13">
        <v>4</v>
      </c>
      <c r="H135" s="13" t="str">
        <f t="shared" ref="H135:H198" si="18">IF(G135&gt;=4,"Experienced",IF(G135&lt;=3,"Fresher"))</f>
        <v>Experienced</v>
      </c>
      <c r="I135" s="65" t="str">
        <f t="shared" ref="I135:I198" si="19">IF(G135&lt;=1,"20000",IF(G135&lt;=3,"30000",IF(G135&lt;=10,"60000",IF(G135&lt;=15,"100000",IF(G135&lt;=20,"150000",IF(G135&lt;=25,"200000"))))))</f>
        <v>60000</v>
      </c>
      <c r="J135" s="43">
        <f t="shared" ref="J135:J198" si="20">IF(I135&gt;=100000,I135*30%,IF(I135&gt;=50000,I135*20%,IF(I135&lt;50000,I135*10%)))</f>
        <v>18000</v>
      </c>
      <c r="K135" s="13" t="b">
        <f t="shared" ref="K135:K198" si="21">OR(D135="Female",H135="Fresher")</f>
        <v>0</v>
      </c>
      <c r="L135" s="13" t="b">
        <f t="shared" ref="L135:L198" si="22">AND(C135="Adult",D135="Male",H135="Experienced")</f>
        <v>1</v>
      </c>
      <c r="M135" s="13" t="str">
        <f t="shared" ref="M135:M198" si="23">IF(OR(C135="Senior",H135="Experienced"),"GET BONUS","NO BONUS")</f>
        <v>GET BONUS</v>
      </c>
      <c r="N135" s="13" t="str">
        <f t="shared" ref="N135:N198" si="24">IF(AND(D135="Female",E135="Master's"),"GET BONUS","NO BONUS")</f>
        <v>NO BONUS</v>
      </c>
    </row>
    <row r="136" spans="1:14" x14ac:dyDescent="0.25">
      <c r="A136" s="13">
        <v>131</v>
      </c>
      <c r="B136" s="13">
        <v>34</v>
      </c>
      <c r="C136" s="13" t="str">
        <f t="shared" si="17"/>
        <v>Adult</v>
      </c>
      <c r="D136" s="13" t="s">
        <v>9</v>
      </c>
      <c r="E136" s="13" t="s">
        <v>10</v>
      </c>
      <c r="F136" s="13" t="s">
        <v>31</v>
      </c>
      <c r="G136" s="13">
        <v>5</v>
      </c>
      <c r="H136" s="13" t="str">
        <f t="shared" si="18"/>
        <v>Experienced</v>
      </c>
      <c r="I136" s="65" t="str">
        <f t="shared" si="19"/>
        <v>60000</v>
      </c>
      <c r="J136" s="43">
        <f t="shared" si="20"/>
        <v>18000</v>
      </c>
      <c r="K136" s="13" t="b">
        <f t="shared" si="21"/>
        <v>1</v>
      </c>
      <c r="L136" s="13" t="b">
        <f t="shared" si="22"/>
        <v>0</v>
      </c>
      <c r="M136" s="13" t="str">
        <f t="shared" si="23"/>
        <v>GET BONUS</v>
      </c>
      <c r="N136" s="13" t="str">
        <f t="shared" si="24"/>
        <v>GET BONUS</v>
      </c>
    </row>
    <row r="137" spans="1:14" x14ac:dyDescent="0.25">
      <c r="A137" s="13">
        <v>132</v>
      </c>
      <c r="B137" s="13">
        <v>34</v>
      </c>
      <c r="C137" s="13" t="str">
        <f t="shared" si="17"/>
        <v>Adult</v>
      </c>
      <c r="D137" s="13" t="s">
        <v>9</v>
      </c>
      <c r="E137" s="13" t="s">
        <v>10</v>
      </c>
      <c r="F137" s="13" t="s">
        <v>50</v>
      </c>
      <c r="G137" s="13">
        <v>5</v>
      </c>
      <c r="H137" s="13" t="str">
        <f t="shared" si="18"/>
        <v>Experienced</v>
      </c>
      <c r="I137" s="65" t="str">
        <f t="shared" si="19"/>
        <v>60000</v>
      </c>
      <c r="J137" s="43">
        <f t="shared" si="20"/>
        <v>18000</v>
      </c>
      <c r="K137" s="13" t="b">
        <f t="shared" si="21"/>
        <v>1</v>
      </c>
      <c r="L137" s="13" t="b">
        <f t="shared" si="22"/>
        <v>0</v>
      </c>
      <c r="M137" s="13" t="str">
        <f t="shared" si="23"/>
        <v>GET BONUS</v>
      </c>
      <c r="N137" s="13" t="str">
        <f t="shared" si="24"/>
        <v>GET BONUS</v>
      </c>
    </row>
    <row r="138" spans="1:14" x14ac:dyDescent="0.25">
      <c r="A138" s="13">
        <v>133</v>
      </c>
      <c r="B138" s="13">
        <v>34</v>
      </c>
      <c r="C138" s="13" t="str">
        <f t="shared" si="17"/>
        <v>Adult</v>
      </c>
      <c r="D138" s="13" t="s">
        <v>6</v>
      </c>
      <c r="E138" s="13" t="s">
        <v>10</v>
      </c>
      <c r="F138" s="13" t="s">
        <v>72</v>
      </c>
      <c r="G138" s="13">
        <v>8</v>
      </c>
      <c r="H138" s="13" t="str">
        <f t="shared" si="18"/>
        <v>Experienced</v>
      </c>
      <c r="I138" s="65" t="str">
        <f t="shared" si="19"/>
        <v>60000</v>
      </c>
      <c r="J138" s="43">
        <f t="shared" si="20"/>
        <v>18000</v>
      </c>
      <c r="K138" s="13" t="b">
        <f t="shared" si="21"/>
        <v>0</v>
      </c>
      <c r="L138" s="13" t="b">
        <f t="shared" si="22"/>
        <v>1</v>
      </c>
      <c r="M138" s="13" t="str">
        <f t="shared" si="23"/>
        <v>GET BONUS</v>
      </c>
      <c r="N138" s="13" t="str">
        <f t="shared" si="24"/>
        <v>NO BONUS</v>
      </c>
    </row>
    <row r="139" spans="1:14" x14ac:dyDescent="0.25">
      <c r="A139" s="13">
        <v>134</v>
      </c>
      <c r="B139" s="13">
        <v>34</v>
      </c>
      <c r="C139" s="13" t="str">
        <f t="shared" si="17"/>
        <v>Adult</v>
      </c>
      <c r="D139" s="13" t="s">
        <v>9</v>
      </c>
      <c r="E139" s="13" t="s">
        <v>10</v>
      </c>
      <c r="F139" s="13" t="s">
        <v>85</v>
      </c>
      <c r="G139" s="13">
        <v>10</v>
      </c>
      <c r="H139" s="13" t="str">
        <f t="shared" si="18"/>
        <v>Experienced</v>
      </c>
      <c r="I139" s="65" t="str">
        <f t="shared" si="19"/>
        <v>60000</v>
      </c>
      <c r="J139" s="43">
        <f t="shared" si="20"/>
        <v>18000</v>
      </c>
      <c r="K139" s="13" t="b">
        <f t="shared" si="21"/>
        <v>1</v>
      </c>
      <c r="L139" s="13" t="b">
        <f t="shared" si="22"/>
        <v>0</v>
      </c>
      <c r="M139" s="13" t="str">
        <f t="shared" si="23"/>
        <v>GET BONUS</v>
      </c>
      <c r="N139" s="13" t="str">
        <f t="shared" si="24"/>
        <v>GET BONUS</v>
      </c>
    </row>
    <row r="140" spans="1:14" x14ac:dyDescent="0.25">
      <c r="A140" s="13">
        <v>135</v>
      </c>
      <c r="B140" s="13">
        <v>34</v>
      </c>
      <c r="C140" s="13" t="str">
        <f t="shared" si="17"/>
        <v>Adult</v>
      </c>
      <c r="D140" s="13" t="s">
        <v>6</v>
      </c>
      <c r="E140" s="13" t="s">
        <v>10</v>
      </c>
      <c r="F140" s="13" t="s">
        <v>117</v>
      </c>
      <c r="G140" s="13">
        <v>8</v>
      </c>
      <c r="H140" s="13" t="str">
        <f t="shared" si="18"/>
        <v>Experienced</v>
      </c>
      <c r="I140" s="65" t="str">
        <f t="shared" si="19"/>
        <v>60000</v>
      </c>
      <c r="J140" s="43">
        <f t="shared" si="20"/>
        <v>18000</v>
      </c>
      <c r="K140" s="13" t="b">
        <f t="shared" si="21"/>
        <v>0</v>
      </c>
      <c r="L140" s="13" t="b">
        <f t="shared" si="22"/>
        <v>1</v>
      </c>
      <c r="M140" s="13" t="str">
        <f t="shared" si="23"/>
        <v>GET BONUS</v>
      </c>
      <c r="N140" s="13" t="str">
        <f t="shared" si="24"/>
        <v>NO BONUS</v>
      </c>
    </row>
    <row r="141" spans="1:14" x14ac:dyDescent="0.25">
      <c r="A141" s="13">
        <v>136</v>
      </c>
      <c r="B141" s="13">
        <v>34</v>
      </c>
      <c r="C141" s="13" t="str">
        <f t="shared" si="17"/>
        <v>Adult</v>
      </c>
      <c r="D141" s="13" t="s">
        <v>6</v>
      </c>
      <c r="E141" s="13" t="s">
        <v>7</v>
      </c>
      <c r="F141" s="13" t="s">
        <v>108</v>
      </c>
      <c r="G141" s="13">
        <v>8</v>
      </c>
      <c r="H141" s="13" t="str">
        <f t="shared" si="18"/>
        <v>Experienced</v>
      </c>
      <c r="I141" s="65" t="str">
        <f t="shared" si="19"/>
        <v>60000</v>
      </c>
      <c r="J141" s="43">
        <f t="shared" si="20"/>
        <v>18000</v>
      </c>
      <c r="K141" s="13" t="b">
        <f t="shared" si="21"/>
        <v>0</v>
      </c>
      <c r="L141" s="13" t="b">
        <f t="shared" si="22"/>
        <v>1</v>
      </c>
      <c r="M141" s="13" t="str">
        <f t="shared" si="23"/>
        <v>GET BONUS</v>
      </c>
      <c r="N141" s="13" t="str">
        <f t="shared" si="24"/>
        <v>NO BONUS</v>
      </c>
    </row>
    <row r="142" spans="1:14" x14ac:dyDescent="0.25">
      <c r="A142" s="13">
        <v>137</v>
      </c>
      <c r="B142" s="13">
        <v>34</v>
      </c>
      <c r="C142" s="13" t="str">
        <f t="shared" si="17"/>
        <v>Adult</v>
      </c>
      <c r="D142" s="13" t="s">
        <v>6</v>
      </c>
      <c r="E142" s="13" t="s">
        <v>10</v>
      </c>
      <c r="F142" s="13" t="s">
        <v>78</v>
      </c>
      <c r="G142" s="13">
        <v>9</v>
      </c>
      <c r="H142" s="13" t="str">
        <f t="shared" si="18"/>
        <v>Experienced</v>
      </c>
      <c r="I142" s="65" t="str">
        <f t="shared" si="19"/>
        <v>60000</v>
      </c>
      <c r="J142" s="43">
        <f t="shared" si="20"/>
        <v>18000</v>
      </c>
      <c r="K142" s="13" t="b">
        <f t="shared" si="21"/>
        <v>0</v>
      </c>
      <c r="L142" s="13" t="b">
        <f t="shared" si="22"/>
        <v>1</v>
      </c>
      <c r="M142" s="13" t="str">
        <f t="shared" si="23"/>
        <v>GET BONUS</v>
      </c>
      <c r="N142" s="13" t="str">
        <f t="shared" si="24"/>
        <v>NO BONUS</v>
      </c>
    </row>
    <row r="143" spans="1:14" x14ac:dyDescent="0.25">
      <c r="A143" s="13">
        <v>138</v>
      </c>
      <c r="B143" s="13">
        <v>34</v>
      </c>
      <c r="C143" s="13" t="str">
        <f t="shared" si="17"/>
        <v>Adult</v>
      </c>
      <c r="D143" s="13" t="s">
        <v>6</v>
      </c>
      <c r="E143" s="13" t="s">
        <v>7</v>
      </c>
      <c r="F143" s="13" t="s">
        <v>158</v>
      </c>
      <c r="G143" s="13">
        <v>9</v>
      </c>
      <c r="H143" s="13" t="str">
        <f t="shared" si="18"/>
        <v>Experienced</v>
      </c>
      <c r="I143" s="65" t="str">
        <f t="shared" si="19"/>
        <v>60000</v>
      </c>
      <c r="J143" s="43">
        <f t="shared" si="20"/>
        <v>18000</v>
      </c>
      <c r="K143" s="13" t="b">
        <f t="shared" si="21"/>
        <v>0</v>
      </c>
      <c r="L143" s="13" t="b">
        <f t="shared" si="22"/>
        <v>1</v>
      </c>
      <c r="M143" s="13" t="str">
        <f t="shared" si="23"/>
        <v>GET BONUS</v>
      </c>
      <c r="N143" s="13" t="str">
        <f t="shared" si="24"/>
        <v>NO BONUS</v>
      </c>
    </row>
    <row r="144" spans="1:14" x14ac:dyDescent="0.25">
      <c r="A144" s="13">
        <v>139</v>
      </c>
      <c r="B144" s="13">
        <v>34</v>
      </c>
      <c r="C144" s="13" t="str">
        <f t="shared" si="17"/>
        <v>Adult</v>
      </c>
      <c r="D144" s="13" t="s">
        <v>6</v>
      </c>
      <c r="E144" s="13" t="s">
        <v>7</v>
      </c>
      <c r="F144" s="13" t="s">
        <v>113</v>
      </c>
      <c r="G144" s="13">
        <v>7</v>
      </c>
      <c r="H144" s="13" t="str">
        <f t="shared" si="18"/>
        <v>Experienced</v>
      </c>
      <c r="I144" s="65" t="str">
        <f t="shared" si="19"/>
        <v>60000</v>
      </c>
      <c r="J144" s="43">
        <f t="shared" si="20"/>
        <v>18000</v>
      </c>
      <c r="K144" s="13" t="b">
        <f t="shared" si="21"/>
        <v>0</v>
      </c>
      <c r="L144" s="13" t="b">
        <f t="shared" si="22"/>
        <v>1</v>
      </c>
      <c r="M144" s="13" t="str">
        <f t="shared" si="23"/>
        <v>GET BONUS</v>
      </c>
      <c r="N144" s="13" t="str">
        <f t="shared" si="24"/>
        <v>NO BONUS</v>
      </c>
    </row>
    <row r="145" spans="1:14" x14ac:dyDescent="0.25">
      <c r="A145" s="13">
        <v>140</v>
      </c>
      <c r="B145" s="13">
        <v>34</v>
      </c>
      <c r="C145" s="13" t="str">
        <f t="shared" si="17"/>
        <v>Adult</v>
      </c>
      <c r="D145" s="13" t="s">
        <v>9</v>
      </c>
      <c r="E145" s="13" t="s">
        <v>10</v>
      </c>
      <c r="F145" s="13" t="s">
        <v>170</v>
      </c>
      <c r="G145" s="13">
        <v>6</v>
      </c>
      <c r="H145" s="13" t="str">
        <f t="shared" si="18"/>
        <v>Experienced</v>
      </c>
      <c r="I145" s="65" t="str">
        <f t="shared" si="19"/>
        <v>60000</v>
      </c>
      <c r="J145" s="43">
        <f t="shared" si="20"/>
        <v>18000</v>
      </c>
      <c r="K145" s="13" t="b">
        <f t="shared" si="21"/>
        <v>1</v>
      </c>
      <c r="L145" s="13" t="b">
        <f t="shared" si="22"/>
        <v>0</v>
      </c>
      <c r="M145" s="13" t="str">
        <f t="shared" si="23"/>
        <v>GET BONUS</v>
      </c>
      <c r="N145" s="13" t="str">
        <f t="shared" si="24"/>
        <v>GET BONUS</v>
      </c>
    </row>
    <row r="146" spans="1:14" x14ac:dyDescent="0.25">
      <c r="A146" s="13">
        <v>141</v>
      </c>
      <c r="B146" s="13">
        <v>34</v>
      </c>
      <c r="C146" s="13" t="str">
        <f t="shared" si="17"/>
        <v>Adult</v>
      </c>
      <c r="D146" s="13" t="s">
        <v>9</v>
      </c>
      <c r="E146" s="13" t="s">
        <v>7</v>
      </c>
      <c r="F146" s="13" t="s">
        <v>109</v>
      </c>
      <c r="G146" s="13">
        <v>6</v>
      </c>
      <c r="H146" s="13" t="str">
        <f t="shared" si="18"/>
        <v>Experienced</v>
      </c>
      <c r="I146" s="65" t="str">
        <f t="shared" si="19"/>
        <v>60000</v>
      </c>
      <c r="J146" s="43">
        <f t="shared" si="20"/>
        <v>18000</v>
      </c>
      <c r="K146" s="13" t="b">
        <f t="shared" si="21"/>
        <v>1</v>
      </c>
      <c r="L146" s="13" t="b">
        <f t="shared" si="22"/>
        <v>0</v>
      </c>
      <c r="M146" s="13" t="str">
        <f t="shared" si="23"/>
        <v>GET BONUS</v>
      </c>
      <c r="N146" s="13" t="str">
        <f t="shared" si="24"/>
        <v>NO BONUS</v>
      </c>
    </row>
    <row r="147" spans="1:14" x14ac:dyDescent="0.25">
      <c r="A147" s="13">
        <v>142</v>
      </c>
      <c r="B147" s="13">
        <v>34</v>
      </c>
      <c r="C147" s="13" t="str">
        <f t="shared" si="17"/>
        <v>Adult</v>
      </c>
      <c r="D147" s="13" t="s">
        <v>9</v>
      </c>
      <c r="E147" s="13" t="s">
        <v>10</v>
      </c>
      <c r="F147" s="13" t="s">
        <v>170</v>
      </c>
      <c r="G147" s="13">
        <v>6</v>
      </c>
      <c r="H147" s="13" t="str">
        <f t="shared" si="18"/>
        <v>Experienced</v>
      </c>
      <c r="I147" s="65" t="str">
        <f t="shared" si="19"/>
        <v>60000</v>
      </c>
      <c r="J147" s="43">
        <f t="shared" si="20"/>
        <v>18000</v>
      </c>
      <c r="K147" s="13" t="b">
        <f t="shared" si="21"/>
        <v>1</v>
      </c>
      <c r="L147" s="13" t="b">
        <f t="shared" si="22"/>
        <v>0</v>
      </c>
      <c r="M147" s="13" t="str">
        <f t="shared" si="23"/>
        <v>GET BONUS</v>
      </c>
      <c r="N147" s="13" t="str">
        <f t="shared" si="24"/>
        <v>GET BONUS</v>
      </c>
    </row>
    <row r="148" spans="1:14" x14ac:dyDescent="0.25">
      <c r="A148" s="13">
        <v>143</v>
      </c>
      <c r="B148" s="13">
        <v>34</v>
      </c>
      <c r="C148" s="13" t="str">
        <f t="shared" si="17"/>
        <v>Adult</v>
      </c>
      <c r="D148" s="13" t="s">
        <v>9</v>
      </c>
      <c r="E148" s="13" t="s">
        <v>7</v>
      </c>
      <c r="F148" s="13" t="s">
        <v>136</v>
      </c>
      <c r="G148" s="13">
        <v>5</v>
      </c>
      <c r="H148" s="13" t="str">
        <f t="shared" si="18"/>
        <v>Experienced</v>
      </c>
      <c r="I148" s="65" t="str">
        <f t="shared" si="19"/>
        <v>60000</v>
      </c>
      <c r="J148" s="43">
        <f t="shared" si="20"/>
        <v>18000</v>
      </c>
      <c r="K148" s="13" t="b">
        <f t="shared" si="21"/>
        <v>1</v>
      </c>
      <c r="L148" s="13" t="b">
        <f t="shared" si="22"/>
        <v>0</v>
      </c>
      <c r="M148" s="13" t="str">
        <f t="shared" si="23"/>
        <v>GET BONUS</v>
      </c>
      <c r="N148" s="13" t="str">
        <f t="shared" si="24"/>
        <v>NO BONUS</v>
      </c>
    </row>
    <row r="149" spans="1:14" x14ac:dyDescent="0.25">
      <c r="A149" s="13">
        <v>144</v>
      </c>
      <c r="B149" s="13">
        <v>34</v>
      </c>
      <c r="C149" s="13" t="str">
        <f t="shared" si="17"/>
        <v>Adult</v>
      </c>
      <c r="D149" s="13" t="s">
        <v>9</v>
      </c>
      <c r="E149" s="13" t="s">
        <v>10</v>
      </c>
      <c r="F149" s="13" t="s">
        <v>170</v>
      </c>
      <c r="G149" s="13">
        <v>6</v>
      </c>
      <c r="H149" s="13" t="str">
        <f t="shared" si="18"/>
        <v>Experienced</v>
      </c>
      <c r="I149" s="65" t="str">
        <f t="shared" si="19"/>
        <v>60000</v>
      </c>
      <c r="J149" s="43">
        <f t="shared" si="20"/>
        <v>18000</v>
      </c>
      <c r="K149" s="13" t="b">
        <f t="shared" si="21"/>
        <v>1</v>
      </c>
      <c r="L149" s="13" t="b">
        <f t="shared" si="22"/>
        <v>0</v>
      </c>
      <c r="M149" s="13" t="str">
        <f t="shared" si="23"/>
        <v>GET BONUS</v>
      </c>
      <c r="N149" s="13" t="str">
        <f t="shared" si="24"/>
        <v>GET BONUS</v>
      </c>
    </row>
    <row r="150" spans="1:14" x14ac:dyDescent="0.25">
      <c r="A150" s="13">
        <v>145</v>
      </c>
      <c r="B150" s="13">
        <v>34</v>
      </c>
      <c r="C150" s="13" t="str">
        <f t="shared" si="17"/>
        <v>Adult</v>
      </c>
      <c r="D150" s="13" t="s">
        <v>6</v>
      </c>
      <c r="E150" s="13" t="s">
        <v>7</v>
      </c>
      <c r="F150" s="13" t="s">
        <v>182</v>
      </c>
      <c r="G150" s="13">
        <v>7</v>
      </c>
      <c r="H150" s="13" t="str">
        <f t="shared" si="18"/>
        <v>Experienced</v>
      </c>
      <c r="I150" s="65" t="str">
        <f t="shared" si="19"/>
        <v>60000</v>
      </c>
      <c r="J150" s="43">
        <f t="shared" si="20"/>
        <v>18000</v>
      </c>
      <c r="K150" s="13" t="b">
        <f t="shared" si="21"/>
        <v>0</v>
      </c>
      <c r="L150" s="13" t="b">
        <f t="shared" si="22"/>
        <v>1</v>
      </c>
      <c r="M150" s="13" t="str">
        <f t="shared" si="23"/>
        <v>GET BONUS</v>
      </c>
      <c r="N150" s="13" t="str">
        <f t="shared" si="24"/>
        <v>NO BONUS</v>
      </c>
    </row>
    <row r="151" spans="1:14" x14ac:dyDescent="0.25">
      <c r="A151" s="13">
        <v>146</v>
      </c>
      <c r="B151" s="13">
        <v>34</v>
      </c>
      <c r="C151" s="13" t="str">
        <f t="shared" si="17"/>
        <v>Adult</v>
      </c>
      <c r="D151" s="13" t="s">
        <v>6</v>
      </c>
      <c r="E151" s="13" t="s">
        <v>7</v>
      </c>
      <c r="F151" s="13" t="s">
        <v>182</v>
      </c>
      <c r="G151" s="13">
        <v>7</v>
      </c>
      <c r="H151" s="13" t="str">
        <f t="shared" si="18"/>
        <v>Experienced</v>
      </c>
      <c r="I151" s="65" t="str">
        <f t="shared" si="19"/>
        <v>60000</v>
      </c>
      <c r="J151" s="43">
        <f t="shared" si="20"/>
        <v>18000</v>
      </c>
      <c r="K151" s="13" t="b">
        <f t="shared" si="21"/>
        <v>0</v>
      </c>
      <c r="L151" s="13" t="b">
        <f t="shared" si="22"/>
        <v>1</v>
      </c>
      <c r="M151" s="13" t="str">
        <f t="shared" si="23"/>
        <v>GET BONUS</v>
      </c>
      <c r="N151" s="13" t="str">
        <f t="shared" si="24"/>
        <v>NO BONUS</v>
      </c>
    </row>
    <row r="152" spans="1:14" x14ac:dyDescent="0.25">
      <c r="A152" s="13">
        <v>147</v>
      </c>
      <c r="B152" s="13">
        <v>34</v>
      </c>
      <c r="C152" s="13" t="str">
        <f t="shared" si="17"/>
        <v>Adult</v>
      </c>
      <c r="D152" s="13" t="s">
        <v>6</v>
      </c>
      <c r="E152" s="13" t="s">
        <v>7</v>
      </c>
      <c r="F152" s="13" t="s">
        <v>182</v>
      </c>
      <c r="G152" s="13">
        <v>7</v>
      </c>
      <c r="H152" s="13" t="str">
        <f t="shared" si="18"/>
        <v>Experienced</v>
      </c>
      <c r="I152" s="65" t="str">
        <f t="shared" si="19"/>
        <v>60000</v>
      </c>
      <c r="J152" s="43">
        <f t="shared" si="20"/>
        <v>18000</v>
      </c>
      <c r="K152" s="13" t="b">
        <f t="shared" si="21"/>
        <v>0</v>
      </c>
      <c r="L152" s="13" t="b">
        <f t="shared" si="22"/>
        <v>1</v>
      </c>
      <c r="M152" s="13" t="str">
        <f t="shared" si="23"/>
        <v>GET BONUS</v>
      </c>
      <c r="N152" s="13" t="str">
        <f t="shared" si="24"/>
        <v>NO BONUS</v>
      </c>
    </row>
    <row r="153" spans="1:14" x14ac:dyDescent="0.25">
      <c r="A153" s="13">
        <v>148</v>
      </c>
      <c r="B153" s="13">
        <v>35</v>
      </c>
      <c r="C153" s="13" t="str">
        <f t="shared" si="17"/>
        <v>Adult</v>
      </c>
      <c r="D153" s="13" t="s">
        <v>6</v>
      </c>
      <c r="E153" s="13" t="s">
        <v>7</v>
      </c>
      <c r="F153" s="13" t="s">
        <v>23</v>
      </c>
      <c r="G153" s="13">
        <v>6</v>
      </c>
      <c r="H153" s="13" t="str">
        <f t="shared" si="18"/>
        <v>Experienced</v>
      </c>
      <c r="I153" s="65" t="str">
        <f t="shared" si="19"/>
        <v>60000</v>
      </c>
      <c r="J153" s="43">
        <f t="shared" si="20"/>
        <v>18000</v>
      </c>
      <c r="K153" s="13" t="b">
        <f t="shared" si="21"/>
        <v>0</v>
      </c>
      <c r="L153" s="13" t="b">
        <f t="shared" si="22"/>
        <v>1</v>
      </c>
      <c r="M153" s="13" t="str">
        <f t="shared" si="23"/>
        <v>GET BONUS</v>
      </c>
      <c r="N153" s="13" t="str">
        <f t="shared" si="24"/>
        <v>NO BONUS</v>
      </c>
    </row>
    <row r="154" spans="1:14" x14ac:dyDescent="0.25">
      <c r="A154" s="13">
        <v>149</v>
      </c>
      <c r="B154" s="13">
        <v>35</v>
      </c>
      <c r="C154" s="13" t="str">
        <f t="shared" si="17"/>
        <v>Adult</v>
      </c>
      <c r="D154" s="13" t="s">
        <v>9</v>
      </c>
      <c r="E154" s="13" t="s">
        <v>7</v>
      </c>
      <c r="F154" s="13" t="s">
        <v>46</v>
      </c>
      <c r="G154" s="13">
        <v>7</v>
      </c>
      <c r="H154" s="13" t="str">
        <f t="shared" si="18"/>
        <v>Experienced</v>
      </c>
      <c r="I154" s="65" t="str">
        <f t="shared" si="19"/>
        <v>60000</v>
      </c>
      <c r="J154" s="43">
        <f t="shared" si="20"/>
        <v>18000</v>
      </c>
      <c r="K154" s="13" t="b">
        <f t="shared" si="21"/>
        <v>1</v>
      </c>
      <c r="L154" s="13" t="b">
        <f t="shared" si="22"/>
        <v>0</v>
      </c>
      <c r="M154" s="13" t="str">
        <f t="shared" si="23"/>
        <v>GET BONUS</v>
      </c>
      <c r="N154" s="13" t="str">
        <f t="shared" si="24"/>
        <v>NO BONUS</v>
      </c>
    </row>
    <row r="155" spans="1:14" x14ac:dyDescent="0.25">
      <c r="A155" s="13">
        <v>150</v>
      </c>
      <c r="B155" s="13">
        <v>35</v>
      </c>
      <c r="C155" s="13" t="str">
        <f t="shared" si="17"/>
        <v>Adult</v>
      </c>
      <c r="D155" s="13" t="s">
        <v>6</v>
      </c>
      <c r="E155" s="13" t="s">
        <v>10</v>
      </c>
      <c r="F155" s="13" t="s">
        <v>17</v>
      </c>
      <c r="G155" s="13">
        <v>7</v>
      </c>
      <c r="H155" s="13" t="str">
        <f t="shared" si="18"/>
        <v>Experienced</v>
      </c>
      <c r="I155" s="65" t="str">
        <f t="shared" si="19"/>
        <v>60000</v>
      </c>
      <c r="J155" s="43">
        <f t="shared" si="20"/>
        <v>18000</v>
      </c>
      <c r="K155" s="13" t="b">
        <f t="shared" si="21"/>
        <v>0</v>
      </c>
      <c r="L155" s="13" t="b">
        <f t="shared" si="22"/>
        <v>1</v>
      </c>
      <c r="M155" s="13" t="str">
        <f t="shared" si="23"/>
        <v>GET BONUS</v>
      </c>
      <c r="N155" s="13" t="str">
        <f t="shared" si="24"/>
        <v>NO BONUS</v>
      </c>
    </row>
    <row r="156" spans="1:14" x14ac:dyDescent="0.25">
      <c r="A156" s="13">
        <v>151</v>
      </c>
      <c r="B156" s="13">
        <v>35</v>
      </c>
      <c r="C156" s="13" t="str">
        <f t="shared" si="17"/>
        <v>Adult</v>
      </c>
      <c r="D156" s="13" t="s">
        <v>6</v>
      </c>
      <c r="E156" s="13" t="s">
        <v>10</v>
      </c>
      <c r="F156" s="13" t="s">
        <v>96</v>
      </c>
      <c r="G156" s="13">
        <v>8</v>
      </c>
      <c r="H156" s="13" t="str">
        <f t="shared" si="18"/>
        <v>Experienced</v>
      </c>
      <c r="I156" s="65" t="str">
        <f t="shared" si="19"/>
        <v>60000</v>
      </c>
      <c r="J156" s="43">
        <f t="shared" si="20"/>
        <v>18000</v>
      </c>
      <c r="K156" s="13" t="b">
        <f t="shared" si="21"/>
        <v>0</v>
      </c>
      <c r="L156" s="13" t="b">
        <f t="shared" si="22"/>
        <v>1</v>
      </c>
      <c r="M156" s="13" t="str">
        <f t="shared" si="23"/>
        <v>GET BONUS</v>
      </c>
      <c r="N156" s="13" t="str">
        <f t="shared" si="24"/>
        <v>NO BONUS</v>
      </c>
    </row>
    <row r="157" spans="1:14" x14ac:dyDescent="0.25">
      <c r="A157" s="13">
        <v>152</v>
      </c>
      <c r="B157" s="13">
        <v>35</v>
      </c>
      <c r="C157" s="13" t="str">
        <f t="shared" si="17"/>
        <v>Adult</v>
      </c>
      <c r="D157" s="13" t="s">
        <v>6</v>
      </c>
      <c r="E157" s="13" t="s">
        <v>10</v>
      </c>
      <c r="F157" s="13" t="s">
        <v>113</v>
      </c>
      <c r="G157" s="13">
        <v>10</v>
      </c>
      <c r="H157" s="13" t="str">
        <f t="shared" si="18"/>
        <v>Experienced</v>
      </c>
      <c r="I157" s="65" t="str">
        <f t="shared" si="19"/>
        <v>60000</v>
      </c>
      <c r="J157" s="43">
        <f t="shared" si="20"/>
        <v>18000</v>
      </c>
      <c r="K157" s="13" t="b">
        <f t="shared" si="21"/>
        <v>0</v>
      </c>
      <c r="L157" s="13" t="b">
        <f t="shared" si="22"/>
        <v>1</v>
      </c>
      <c r="M157" s="13" t="str">
        <f t="shared" si="23"/>
        <v>GET BONUS</v>
      </c>
      <c r="N157" s="13" t="str">
        <f t="shared" si="24"/>
        <v>NO BONUS</v>
      </c>
    </row>
    <row r="158" spans="1:14" x14ac:dyDescent="0.25">
      <c r="A158" s="13">
        <v>153</v>
      </c>
      <c r="B158" s="13">
        <v>35</v>
      </c>
      <c r="C158" s="13" t="str">
        <f t="shared" si="17"/>
        <v>Adult</v>
      </c>
      <c r="D158" s="13" t="s">
        <v>6</v>
      </c>
      <c r="E158" s="13" t="s">
        <v>7</v>
      </c>
      <c r="F158" s="13" t="s">
        <v>143</v>
      </c>
      <c r="G158" s="13">
        <v>7</v>
      </c>
      <c r="H158" s="13" t="str">
        <f t="shared" si="18"/>
        <v>Experienced</v>
      </c>
      <c r="I158" s="65" t="str">
        <f t="shared" si="19"/>
        <v>60000</v>
      </c>
      <c r="J158" s="43">
        <f t="shared" si="20"/>
        <v>18000</v>
      </c>
      <c r="K158" s="13" t="b">
        <f t="shared" si="21"/>
        <v>0</v>
      </c>
      <c r="L158" s="13" t="b">
        <f t="shared" si="22"/>
        <v>1</v>
      </c>
      <c r="M158" s="13" t="str">
        <f t="shared" si="23"/>
        <v>GET BONUS</v>
      </c>
      <c r="N158" s="13" t="str">
        <f t="shared" si="24"/>
        <v>NO BONUS</v>
      </c>
    </row>
    <row r="159" spans="1:14" x14ac:dyDescent="0.25">
      <c r="A159" s="13">
        <v>154</v>
      </c>
      <c r="B159" s="13">
        <v>35</v>
      </c>
      <c r="C159" s="13" t="str">
        <f t="shared" si="17"/>
        <v>Adult</v>
      </c>
      <c r="D159" s="13" t="s">
        <v>6</v>
      </c>
      <c r="E159" s="13" t="s">
        <v>7</v>
      </c>
      <c r="F159" s="13" t="s">
        <v>152</v>
      </c>
      <c r="G159" s="13">
        <v>7</v>
      </c>
      <c r="H159" s="13" t="str">
        <f t="shared" si="18"/>
        <v>Experienced</v>
      </c>
      <c r="I159" s="65" t="str">
        <f t="shared" si="19"/>
        <v>60000</v>
      </c>
      <c r="J159" s="43">
        <f t="shared" si="20"/>
        <v>18000</v>
      </c>
      <c r="K159" s="13" t="b">
        <f t="shared" si="21"/>
        <v>0</v>
      </c>
      <c r="L159" s="13" t="b">
        <f t="shared" si="22"/>
        <v>1</v>
      </c>
      <c r="M159" s="13" t="str">
        <f t="shared" si="23"/>
        <v>GET BONUS</v>
      </c>
      <c r="N159" s="13" t="str">
        <f t="shared" si="24"/>
        <v>NO BONUS</v>
      </c>
    </row>
    <row r="160" spans="1:14" x14ac:dyDescent="0.25">
      <c r="A160" s="13">
        <v>155</v>
      </c>
      <c r="B160" s="13">
        <v>35</v>
      </c>
      <c r="C160" s="13" t="str">
        <f t="shared" si="17"/>
        <v>Adult</v>
      </c>
      <c r="D160" s="13" t="s">
        <v>6</v>
      </c>
      <c r="E160" s="13" t="s">
        <v>10</v>
      </c>
      <c r="F160" s="13" t="s">
        <v>117</v>
      </c>
      <c r="G160" s="13">
        <v>9</v>
      </c>
      <c r="H160" s="13" t="str">
        <f t="shared" si="18"/>
        <v>Experienced</v>
      </c>
      <c r="I160" s="65" t="str">
        <f t="shared" si="19"/>
        <v>60000</v>
      </c>
      <c r="J160" s="43">
        <f t="shared" si="20"/>
        <v>18000</v>
      </c>
      <c r="K160" s="13" t="b">
        <f t="shared" si="21"/>
        <v>0</v>
      </c>
      <c r="L160" s="13" t="b">
        <f t="shared" si="22"/>
        <v>1</v>
      </c>
      <c r="M160" s="13" t="str">
        <f t="shared" si="23"/>
        <v>GET BONUS</v>
      </c>
      <c r="N160" s="13" t="str">
        <f t="shared" si="24"/>
        <v>NO BONUS</v>
      </c>
    </row>
    <row r="161" spans="1:14" x14ac:dyDescent="0.25">
      <c r="A161" s="13">
        <v>156</v>
      </c>
      <c r="B161" s="13">
        <v>35</v>
      </c>
      <c r="C161" s="13" t="str">
        <f t="shared" si="17"/>
        <v>Adult</v>
      </c>
      <c r="D161" s="13" t="s">
        <v>9</v>
      </c>
      <c r="E161" s="13" t="s">
        <v>7</v>
      </c>
      <c r="F161" s="13" t="s">
        <v>103</v>
      </c>
      <c r="G161" s="13">
        <v>8</v>
      </c>
      <c r="H161" s="13" t="str">
        <f t="shared" si="18"/>
        <v>Experienced</v>
      </c>
      <c r="I161" s="65" t="str">
        <f t="shared" si="19"/>
        <v>60000</v>
      </c>
      <c r="J161" s="43">
        <f t="shared" si="20"/>
        <v>18000</v>
      </c>
      <c r="K161" s="13" t="b">
        <f t="shared" si="21"/>
        <v>1</v>
      </c>
      <c r="L161" s="13" t="b">
        <f t="shared" si="22"/>
        <v>0</v>
      </c>
      <c r="M161" s="13" t="str">
        <f t="shared" si="23"/>
        <v>GET BONUS</v>
      </c>
      <c r="N161" s="13" t="str">
        <f t="shared" si="24"/>
        <v>NO BONUS</v>
      </c>
    </row>
    <row r="162" spans="1:14" x14ac:dyDescent="0.25">
      <c r="A162" s="13">
        <v>157</v>
      </c>
      <c r="B162" s="13">
        <v>35</v>
      </c>
      <c r="C162" s="13" t="str">
        <f t="shared" si="17"/>
        <v>Adult</v>
      </c>
      <c r="D162" s="13" t="s">
        <v>6</v>
      </c>
      <c r="E162" s="13" t="s">
        <v>7</v>
      </c>
      <c r="F162" s="13" t="s">
        <v>99</v>
      </c>
      <c r="G162" s="13">
        <v>9</v>
      </c>
      <c r="H162" s="13" t="str">
        <f t="shared" si="18"/>
        <v>Experienced</v>
      </c>
      <c r="I162" s="65" t="str">
        <f t="shared" si="19"/>
        <v>60000</v>
      </c>
      <c r="J162" s="43">
        <f t="shared" si="20"/>
        <v>18000</v>
      </c>
      <c r="K162" s="13" t="b">
        <f t="shared" si="21"/>
        <v>0</v>
      </c>
      <c r="L162" s="13" t="b">
        <f t="shared" si="22"/>
        <v>1</v>
      </c>
      <c r="M162" s="13" t="str">
        <f t="shared" si="23"/>
        <v>GET BONUS</v>
      </c>
      <c r="N162" s="13" t="str">
        <f t="shared" si="24"/>
        <v>NO BONUS</v>
      </c>
    </row>
    <row r="163" spans="1:14" x14ac:dyDescent="0.25">
      <c r="A163" s="13">
        <v>158</v>
      </c>
      <c r="B163" s="13">
        <v>35</v>
      </c>
      <c r="C163" s="13" t="str">
        <f t="shared" si="17"/>
        <v>Adult</v>
      </c>
      <c r="D163" s="13" t="s">
        <v>6</v>
      </c>
      <c r="E163" s="13" t="s">
        <v>7</v>
      </c>
      <c r="F163" s="13" t="s">
        <v>152</v>
      </c>
      <c r="G163" s="13">
        <v>8</v>
      </c>
      <c r="H163" s="13" t="str">
        <f t="shared" si="18"/>
        <v>Experienced</v>
      </c>
      <c r="I163" s="65" t="str">
        <f t="shared" si="19"/>
        <v>60000</v>
      </c>
      <c r="J163" s="43">
        <f t="shared" si="20"/>
        <v>18000</v>
      </c>
      <c r="K163" s="13" t="b">
        <f t="shared" si="21"/>
        <v>0</v>
      </c>
      <c r="L163" s="13" t="b">
        <f t="shared" si="22"/>
        <v>1</v>
      </c>
      <c r="M163" s="13" t="str">
        <f t="shared" si="23"/>
        <v>GET BONUS</v>
      </c>
      <c r="N163" s="13" t="str">
        <f t="shared" si="24"/>
        <v>NO BONUS</v>
      </c>
    </row>
    <row r="164" spans="1:14" x14ac:dyDescent="0.25">
      <c r="A164" s="13">
        <v>159</v>
      </c>
      <c r="B164" s="13">
        <v>35</v>
      </c>
      <c r="C164" s="13" t="str">
        <f t="shared" si="17"/>
        <v>Adult</v>
      </c>
      <c r="D164" s="13" t="s">
        <v>9</v>
      </c>
      <c r="E164" s="13" t="s">
        <v>7</v>
      </c>
      <c r="F164" s="13" t="s">
        <v>103</v>
      </c>
      <c r="G164" s="13">
        <v>8</v>
      </c>
      <c r="H164" s="13" t="str">
        <f t="shared" si="18"/>
        <v>Experienced</v>
      </c>
      <c r="I164" s="65" t="str">
        <f t="shared" si="19"/>
        <v>60000</v>
      </c>
      <c r="J164" s="43">
        <f t="shared" si="20"/>
        <v>18000</v>
      </c>
      <c r="K164" s="13" t="b">
        <f t="shared" si="21"/>
        <v>1</v>
      </c>
      <c r="L164" s="13" t="b">
        <f t="shared" si="22"/>
        <v>0</v>
      </c>
      <c r="M164" s="13" t="str">
        <f t="shared" si="23"/>
        <v>GET BONUS</v>
      </c>
      <c r="N164" s="13" t="str">
        <f t="shared" si="24"/>
        <v>NO BONUS</v>
      </c>
    </row>
    <row r="165" spans="1:14" x14ac:dyDescent="0.25">
      <c r="A165" s="13">
        <v>160</v>
      </c>
      <c r="B165" s="13">
        <v>35</v>
      </c>
      <c r="C165" s="13" t="str">
        <f t="shared" si="17"/>
        <v>Adult</v>
      </c>
      <c r="D165" s="13" t="s">
        <v>6</v>
      </c>
      <c r="E165" s="13" t="s">
        <v>7</v>
      </c>
      <c r="F165" s="13" t="s">
        <v>99</v>
      </c>
      <c r="G165" s="13">
        <v>9</v>
      </c>
      <c r="H165" s="13" t="str">
        <f t="shared" si="18"/>
        <v>Experienced</v>
      </c>
      <c r="I165" s="65" t="str">
        <f t="shared" si="19"/>
        <v>60000</v>
      </c>
      <c r="J165" s="43">
        <f t="shared" si="20"/>
        <v>18000</v>
      </c>
      <c r="K165" s="13" t="b">
        <f t="shared" si="21"/>
        <v>0</v>
      </c>
      <c r="L165" s="13" t="b">
        <f t="shared" si="22"/>
        <v>1</v>
      </c>
      <c r="M165" s="13" t="str">
        <f t="shared" si="23"/>
        <v>GET BONUS</v>
      </c>
      <c r="N165" s="13" t="str">
        <f t="shared" si="24"/>
        <v>NO BONUS</v>
      </c>
    </row>
    <row r="166" spans="1:14" x14ac:dyDescent="0.25">
      <c r="A166" s="13">
        <v>161</v>
      </c>
      <c r="B166" s="13">
        <v>35</v>
      </c>
      <c r="C166" s="13" t="str">
        <f t="shared" si="17"/>
        <v>Adult</v>
      </c>
      <c r="D166" s="13" t="s">
        <v>6</v>
      </c>
      <c r="E166" s="13" t="s">
        <v>7</v>
      </c>
      <c r="F166" s="13" t="s">
        <v>177</v>
      </c>
      <c r="G166" s="13">
        <v>9</v>
      </c>
      <c r="H166" s="13" t="str">
        <f t="shared" si="18"/>
        <v>Experienced</v>
      </c>
      <c r="I166" s="65" t="str">
        <f t="shared" si="19"/>
        <v>60000</v>
      </c>
      <c r="J166" s="43">
        <f t="shared" si="20"/>
        <v>18000</v>
      </c>
      <c r="K166" s="13" t="b">
        <f t="shared" si="21"/>
        <v>0</v>
      </c>
      <c r="L166" s="13" t="b">
        <f t="shared" si="22"/>
        <v>1</v>
      </c>
      <c r="M166" s="13" t="str">
        <f t="shared" si="23"/>
        <v>GET BONUS</v>
      </c>
      <c r="N166" s="13" t="str">
        <f t="shared" si="24"/>
        <v>NO BONUS</v>
      </c>
    </row>
    <row r="167" spans="1:14" x14ac:dyDescent="0.25">
      <c r="A167" s="13">
        <v>162</v>
      </c>
      <c r="B167" s="13">
        <v>35</v>
      </c>
      <c r="C167" s="13" t="str">
        <f t="shared" si="17"/>
        <v>Adult</v>
      </c>
      <c r="D167" s="13" t="s">
        <v>9</v>
      </c>
      <c r="E167" s="13" t="s">
        <v>7</v>
      </c>
      <c r="F167" s="13" t="s">
        <v>103</v>
      </c>
      <c r="G167" s="13">
        <v>8</v>
      </c>
      <c r="H167" s="13" t="str">
        <f t="shared" si="18"/>
        <v>Experienced</v>
      </c>
      <c r="I167" s="65" t="str">
        <f t="shared" si="19"/>
        <v>60000</v>
      </c>
      <c r="J167" s="43">
        <f t="shared" si="20"/>
        <v>18000</v>
      </c>
      <c r="K167" s="13" t="b">
        <f t="shared" si="21"/>
        <v>1</v>
      </c>
      <c r="L167" s="13" t="b">
        <f t="shared" si="22"/>
        <v>0</v>
      </c>
      <c r="M167" s="13" t="str">
        <f t="shared" si="23"/>
        <v>GET BONUS</v>
      </c>
      <c r="N167" s="13" t="str">
        <f t="shared" si="24"/>
        <v>NO BONUS</v>
      </c>
    </row>
    <row r="168" spans="1:14" x14ac:dyDescent="0.25">
      <c r="A168" s="13">
        <v>163</v>
      </c>
      <c r="B168" s="13">
        <v>35</v>
      </c>
      <c r="C168" s="13" t="str">
        <f t="shared" si="17"/>
        <v>Adult</v>
      </c>
      <c r="D168" s="13" t="s">
        <v>6</v>
      </c>
      <c r="E168" s="13" t="s">
        <v>7</v>
      </c>
      <c r="F168" s="13" t="s">
        <v>132</v>
      </c>
      <c r="G168" s="13">
        <v>7</v>
      </c>
      <c r="H168" s="13" t="str">
        <f t="shared" si="18"/>
        <v>Experienced</v>
      </c>
      <c r="I168" s="65" t="str">
        <f t="shared" si="19"/>
        <v>60000</v>
      </c>
      <c r="J168" s="43">
        <f t="shared" si="20"/>
        <v>18000</v>
      </c>
      <c r="K168" s="13" t="b">
        <f t="shared" si="21"/>
        <v>0</v>
      </c>
      <c r="L168" s="13" t="b">
        <f t="shared" si="22"/>
        <v>1</v>
      </c>
      <c r="M168" s="13" t="str">
        <f t="shared" si="23"/>
        <v>GET BONUS</v>
      </c>
      <c r="N168" s="13" t="str">
        <f t="shared" si="24"/>
        <v>NO BONUS</v>
      </c>
    </row>
    <row r="169" spans="1:14" x14ac:dyDescent="0.25">
      <c r="A169" s="13">
        <v>164</v>
      </c>
      <c r="B169" s="13">
        <v>35</v>
      </c>
      <c r="C169" s="13" t="str">
        <f t="shared" si="17"/>
        <v>Adult</v>
      </c>
      <c r="D169" s="13" t="s">
        <v>6</v>
      </c>
      <c r="E169" s="13" t="s">
        <v>7</v>
      </c>
      <c r="F169" s="13" t="s">
        <v>177</v>
      </c>
      <c r="G169" s="13">
        <v>9</v>
      </c>
      <c r="H169" s="13" t="str">
        <f t="shared" si="18"/>
        <v>Experienced</v>
      </c>
      <c r="I169" s="65" t="str">
        <f t="shared" si="19"/>
        <v>60000</v>
      </c>
      <c r="J169" s="43">
        <f t="shared" si="20"/>
        <v>18000</v>
      </c>
      <c r="K169" s="13" t="b">
        <f t="shared" si="21"/>
        <v>0</v>
      </c>
      <c r="L169" s="13" t="b">
        <f t="shared" si="22"/>
        <v>1</v>
      </c>
      <c r="M169" s="13" t="str">
        <f t="shared" si="23"/>
        <v>GET BONUS</v>
      </c>
      <c r="N169" s="13" t="str">
        <f t="shared" si="24"/>
        <v>NO BONUS</v>
      </c>
    </row>
    <row r="170" spans="1:14" x14ac:dyDescent="0.25">
      <c r="A170" s="13">
        <v>165</v>
      </c>
      <c r="B170" s="13">
        <v>35</v>
      </c>
      <c r="C170" s="13" t="str">
        <f t="shared" si="17"/>
        <v>Adult</v>
      </c>
      <c r="D170" s="13" t="s">
        <v>9</v>
      </c>
      <c r="E170" s="13" t="s">
        <v>7</v>
      </c>
      <c r="F170" s="13" t="s">
        <v>103</v>
      </c>
      <c r="G170" s="13">
        <v>8</v>
      </c>
      <c r="H170" s="13" t="str">
        <f t="shared" si="18"/>
        <v>Experienced</v>
      </c>
      <c r="I170" s="65" t="str">
        <f t="shared" si="19"/>
        <v>60000</v>
      </c>
      <c r="J170" s="43">
        <f t="shared" si="20"/>
        <v>18000</v>
      </c>
      <c r="K170" s="13" t="b">
        <f t="shared" si="21"/>
        <v>1</v>
      </c>
      <c r="L170" s="13" t="b">
        <f t="shared" si="22"/>
        <v>0</v>
      </c>
      <c r="M170" s="13" t="str">
        <f t="shared" si="23"/>
        <v>GET BONUS</v>
      </c>
      <c r="N170" s="13" t="str">
        <f t="shared" si="24"/>
        <v>NO BONUS</v>
      </c>
    </row>
    <row r="171" spans="1:14" x14ac:dyDescent="0.25">
      <c r="A171" s="13">
        <v>166</v>
      </c>
      <c r="B171" s="13">
        <v>35</v>
      </c>
      <c r="C171" s="13" t="str">
        <f t="shared" si="17"/>
        <v>Adult</v>
      </c>
      <c r="D171" s="13" t="s">
        <v>9</v>
      </c>
      <c r="E171" s="13" t="s">
        <v>7</v>
      </c>
      <c r="F171" s="13" t="s">
        <v>177</v>
      </c>
      <c r="G171" s="13">
        <v>8</v>
      </c>
      <c r="H171" s="13" t="str">
        <f t="shared" si="18"/>
        <v>Experienced</v>
      </c>
      <c r="I171" s="65" t="str">
        <f t="shared" si="19"/>
        <v>60000</v>
      </c>
      <c r="J171" s="43">
        <f t="shared" si="20"/>
        <v>18000</v>
      </c>
      <c r="K171" s="13" t="b">
        <f t="shared" si="21"/>
        <v>1</v>
      </c>
      <c r="L171" s="13" t="b">
        <f t="shared" si="22"/>
        <v>0</v>
      </c>
      <c r="M171" s="13" t="str">
        <f t="shared" si="23"/>
        <v>GET BONUS</v>
      </c>
      <c r="N171" s="13" t="str">
        <f t="shared" si="24"/>
        <v>NO BONUS</v>
      </c>
    </row>
    <row r="172" spans="1:14" x14ac:dyDescent="0.25">
      <c r="A172" s="13">
        <v>167</v>
      </c>
      <c r="B172" s="13">
        <v>35</v>
      </c>
      <c r="C172" s="13" t="str">
        <f t="shared" si="17"/>
        <v>Adult</v>
      </c>
      <c r="D172" s="13" t="s">
        <v>9</v>
      </c>
      <c r="E172" s="13" t="s">
        <v>7</v>
      </c>
      <c r="F172" s="13" t="s">
        <v>103</v>
      </c>
      <c r="G172" s="13">
        <v>8</v>
      </c>
      <c r="H172" s="13" t="str">
        <f t="shared" si="18"/>
        <v>Experienced</v>
      </c>
      <c r="I172" s="65" t="str">
        <f t="shared" si="19"/>
        <v>60000</v>
      </c>
      <c r="J172" s="43">
        <f t="shared" si="20"/>
        <v>18000</v>
      </c>
      <c r="K172" s="13" t="b">
        <f t="shared" si="21"/>
        <v>1</v>
      </c>
      <c r="L172" s="13" t="b">
        <f t="shared" si="22"/>
        <v>0</v>
      </c>
      <c r="M172" s="13" t="str">
        <f t="shared" si="23"/>
        <v>GET BONUS</v>
      </c>
      <c r="N172" s="13" t="str">
        <f t="shared" si="24"/>
        <v>NO BONUS</v>
      </c>
    </row>
    <row r="173" spans="1:14" x14ac:dyDescent="0.25">
      <c r="A173" s="13">
        <v>168</v>
      </c>
      <c r="B173" s="13">
        <v>35</v>
      </c>
      <c r="C173" s="13" t="str">
        <f t="shared" si="17"/>
        <v>Adult</v>
      </c>
      <c r="D173" s="13" t="s">
        <v>9</v>
      </c>
      <c r="E173" s="13" t="s">
        <v>7</v>
      </c>
      <c r="F173" s="13" t="s">
        <v>177</v>
      </c>
      <c r="G173" s="13">
        <v>8</v>
      </c>
      <c r="H173" s="13" t="str">
        <f t="shared" si="18"/>
        <v>Experienced</v>
      </c>
      <c r="I173" s="65" t="str">
        <f t="shared" si="19"/>
        <v>60000</v>
      </c>
      <c r="J173" s="43">
        <f t="shared" si="20"/>
        <v>18000</v>
      </c>
      <c r="K173" s="13" t="b">
        <f t="shared" si="21"/>
        <v>1</v>
      </c>
      <c r="L173" s="13" t="b">
        <f t="shared" si="22"/>
        <v>0</v>
      </c>
      <c r="M173" s="13" t="str">
        <f t="shared" si="23"/>
        <v>GET BONUS</v>
      </c>
      <c r="N173" s="13" t="str">
        <f t="shared" si="24"/>
        <v>NO BONUS</v>
      </c>
    </row>
    <row r="174" spans="1:14" x14ac:dyDescent="0.25">
      <c r="A174" s="13">
        <v>169</v>
      </c>
      <c r="B174" s="13">
        <v>35</v>
      </c>
      <c r="C174" s="13" t="str">
        <f t="shared" si="17"/>
        <v>Adult</v>
      </c>
      <c r="D174" s="13" t="s">
        <v>9</v>
      </c>
      <c r="E174" s="13" t="s">
        <v>7</v>
      </c>
      <c r="F174" s="13" t="s">
        <v>103</v>
      </c>
      <c r="G174" s="13">
        <v>8</v>
      </c>
      <c r="H174" s="13" t="str">
        <f t="shared" si="18"/>
        <v>Experienced</v>
      </c>
      <c r="I174" s="65" t="str">
        <f t="shared" si="19"/>
        <v>60000</v>
      </c>
      <c r="J174" s="43">
        <f t="shared" si="20"/>
        <v>18000</v>
      </c>
      <c r="K174" s="13" t="b">
        <f t="shared" si="21"/>
        <v>1</v>
      </c>
      <c r="L174" s="13" t="b">
        <f t="shared" si="22"/>
        <v>0</v>
      </c>
      <c r="M174" s="13" t="str">
        <f t="shared" si="23"/>
        <v>GET BONUS</v>
      </c>
      <c r="N174" s="13" t="str">
        <f t="shared" si="24"/>
        <v>NO BONUS</v>
      </c>
    </row>
    <row r="175" spans="1:14" x14ac:dyDescent="0.25">
      <c r="A175" s="13">
        <v>170</v>
      </c>
      <c r="B175" s="13">
        <v>36</v>
      </c>
      <c r="C175" s="13" t="str">
        <f t="shared" si="17"/>
        <v>Adult</v>
      </c>
      <c r="D175" s="13" t="s">
        <v>9</v>
      </c>
      <c r="E175" s="13" t="s">
        <v>7</v>
      </c>
      <c r="F175" s="13" t="s">
        <v>14</v>
      </c>
      <c r="G175" s="13">
        <v>7</v>
      </c>
      <c r="H175" s="13" t="str">
        <f t="shared" si="18"/>
        <v>Experienced</v>
      </c>
      <c r="I175" s="65" t="str">
        <f t="shared" si="19"/>
        <v>60000</v>
      </c>
      <c r="J175" s="43">
        <f t="shared" si="20"/>
        <v>18000</v>
      </c>
      <c r="K175" s="13" t="b">
        <f t="shared" si="21"/>
        <v>1</v>
      </c>
      <c r="L175" s="13" t="b">
        <f t="shared" si="22"/>
        <v>0</v>
      </c>
      <c r="M175" s="13" t="str">
        <f t="shared" si="23"/>
        <v>GET BONUS</v>
      </c>
      <c r="N175" s="13" t="str">
        <f t="shared" si="24"/>
        <v>NO BONUS</v>
      </c>
    </row>
    <row r="176" spans="1:14" x14ac:dyDescent="0.25">
      <c r="A176" s="13">
        <v>171</v>
      </c>
      <c r="B176" s="13">
        <v>36</v>
      </c>
      <c r="C176" s="13" t="str">
        <f t="shared" si="17"/>
        <v>Adult</v>
      </c>
      <c r="D176" s="13" t="s">
        <v>9</v>
      </c>
      <c r="E176" s="13" t="s">
        <v>7</v>
      </c>
      <c r="F176" s="13" t="s">
        <v>34</v>
      </c>
      <c r="G176" s="13">
        <v>9</v>
      </c>
      <c r="H176" s="13" t="str">
        <f t="shared" si="18"/>
        <v>Experienced</v>
      </c>
      <c r="I176" s="65" t="str">
        <f t="shared" si="19"/>
        <v>60000</v>
      </c>
      <c r="J176" s="43">
        <f t="shared" si="20"/>
        <v>18000</v>
      </c>
      <c r="K176" s="13" t="b">
        <f t="shared" si="21"/>
        <v>1</v>
      </c>
      <c r="L176" s="13" t="b">
        <f t="shared" si="22"/>
        <v>0</v>
      </c>
      <c r="M176" s="13" t="str">
        <f t="shared" si="23"/>
        <v>GET BONUS</v>
      </c>
      <c r="N176" s="13" t="str">
        <f t="shared" si="24"/>
        <v>NO BONUS</v>
      </c>
    </row>
    <row r="177" spans="1:14" x14ac:dyDescent="0.25">
      <c r="A177" s="13">
        <v>172</v>
      </c>
      <c r="B177" s="13">
        <v>36</v>
      </c>
      <c r="C177" s="13" t="str">
        <f t="shared" si="17"/>
        <v>Adult</v>
      </c>
      <c r="D177" s="13" t="s">
        <v>9</v>
      </c>
      <c r="E177" s="13" t="s">
        <v>7</v>
      </c>
      <c r="F177" s="13" t="s">
        <v>53</v>
      </c>
      <c r="G177" s="13">
        <v>8</v>
      </c>
      <c r="H177" s="13" t="str">
        <f t="shared" si="18"/>
        <v>Experienced</v>
      </c>
      <c r="I177" s="65" t="str">
        <f t="shared" si="19"/>
        <v>60000</v>
      </c>
      <c r="J177" s="43">
        <f t="shared" si="20"/>
        <v>18000</v>
      </c>
      <c r="K177" s="13" t="b">
        <f t="shared" si="21"/>
        <v>1</v>
      </c>
      <c r="L177" s="13" t="b">
        <f t="shared" si="22"/>
        <v>0</v>
      </c>
      <c r="M177" s="13" t="str">
        <f t="shared" si="23"/>
        <v>GET BONUS</v>
      </c>
      <c r="N177" s="13" t="str">
        <f t="shared" si="24"/>
        <v>NO BONUS</v>
      </c>
    </row>
    <row r="178" spans="1:14" x14ac:dyDescent="0.25">
      <c r="A178" s="13">
        <v>173</v>
      </c>
      <c r="B178" s="13">
        <v>36</v>
      </c>
      <c r="C178" s="13" t="str">
        <f t="shared" si="17"/>
        <v>Adult</v>
      </c>
      <c r="D178" s="13" t="s">
        <v>6</v>
      </c>
      <c r="E178" s="13" t="s">
        <v>7</v>
      </c>
      <c r="F178" s="13" t="s">
        <v>18</v>
      </c>
      <c r="G178" s="13">
        <v>9</v>
      </c>
      <c r="H178" s="13" t="str">
        <f t="shared" si="18"/>
        <v>Experienced</v>
      </c>
      <c r="I178" s="65" t="str">
        <f t="shared" si="19"/>
        <v>60000</v>
      </c>
      <c r="J178" s="43">
        <f t="shared" si="20"/>
        <v>18000</v>
      </c>
      <c r="K178" s="13" t="b">
        <f t="shared" si="21"/>
        <v>0</v>
      </c>
      <c r="L178" s="13" t="b">
        <f t="shared" si="22"/>
        <v>1</v>
      </c>
      <c r="M178" s="13" t="str">
        <f t="shared" si="23"/>
        <v>GET BONUS</v>
      </c>
      <c r="N178" s="13" t="str">
        <f t="shared" si="24"/>
        <v>NO BONUS</v>
      </c>
    </row>
    <row r="179" spans="1:14" x14ac:dyDescent="0.25">
      <c r="A179" s="13">
        <v>174</v>
      </c>
      <c r="B179" s="13">
        <v>36</v>
      </c>
      <c r="C179" s="13" t="str">
        <f t="shared" si="17"/>
        <v>Adult</v>
      </c>
      <c r="D179" s="13" t="s">
        <v>6</v>
      </c>
      <c r="E179" s="13" t="s">
        <v>7</v>
      </c>
      <c r="F179" s="13" t="s">
        <v>81</v>
      </c>
      <c r="G179" s="13">
        <v>8</v>
      </c>
      <c r="H179" s="13" t="str">
        <f t="shared" si="18"/>
        <v>Experienced</v>
      </c>
      <c r="I179" s="65" t="str">
        <f t="shared" si="19"/>
        <v>60000</v>
      </c>
      <c r="J179" s="43">
        <f t="shared" si="20"/>
        <v>18000</v>
      </c>
      <c r="K179" s="13" t="b">
        <f t="shared" si="21"/>
        <v>0</v>
      </c>
      <c r="L179" s="13" t="b">
        <f t="shared" si="22"/>
        <v>1</v>
      </c>
      <c r="M179" s="13" t="str">
        <f t="shared" si="23"/>
        <v>GET BONUS</v>
      </c>
      <c r="N179" s="13" t="str">
        <f t="shared" si="24"/>
        <v>NO BONUS</v>
      </c>
    </row>
    <row r="180" spans="1:14" x14ac:dyDescent="0.25">
      <c r="A180" s="13">
        <v>175</v>
      </c>
      <c r="B180" s="13">
        <v>36</v>
      </c>
      <c r="C180" s="13" t="str">
        <f t="shared" si="17"/>
        <v>Adult</v>
      </c>
      <c r="D180" s="13" t="s">
        <v>6</v>
      </c>
      <c r="E180" s="13" t="s">
        <v>12</v>
      </c>
      <c r="F180" s="13" t="s">
        <v>88</v>
      </c>
      <c r="G180" s="13">
        <v>11</v>
      </c>
      <c r="H180" s="13" t="str">
        <f t="shared" si="18"/>
        <v>Experienced</v>
      </c>
      <c r="I180" s="65" t="str">
        <f t="shared" si="19"/>
        <v>100000</v>
      </c>
      <c r="J180" s="43">
        <f t="shared" si="20"/>
        <v>30000</v>
      </c>
      <c r="K180" s="13" t="b">
        <f t="shared" si="21"/>
        <v>0</v>
      </c>
      <c r="L180" s="13" t="b">
        <f t="shared" si="22"/>
        <v>1</v>
      </c>
      <c r="M180" s="13" t="str">
        <f t="shared" si="23"/>
        <v>GET BONUS</v>
      </c>
      <c r="N180" s="13" t="str">
        <f t="shared" si="24"/>
        <v>NO BONUS</v>
      </c>
    </row>
    <row r="181" spans="1:14" x14ac:dyDescent="0.25">
      <c r="A181" s="13">
        <v>176</v>
      </c>
      <c r="B181" s="13">
        <v>36</v>
      </c>
      <c r="C181" s="13" t="str">
        <f t="shared" si="17"/>
        <v>Adult</v>
      </c>
      <c r="D181" s="13" t="s">
        <v>6</v>
      </c>
      <c r="E181" s="13" t="s">
        <v>7</v>
      </c>
      <c r="F181" s="13" t="s">
        <v>102</v>
      </c>
      <c r="G181" s="13">
        <v>7</v>
      </c>
      <c r="H181" s="13" t="str">
        <f t="shared" si="18"/>
        <v>Experienced</v>
      </c>
      <c r="I181" s="65" t="str">
        <f t="shared" si="19"/>
        <v>60000</v>
      </c>
      <c r="J181" s="43">
        <f t="shared" si="20"/>
        <v>18000</v>
      </c>
      <c r="K181" s="13" t="b">
        <f t="shared" si="21"/>
        <v>0</v>
      </c>
      <c r="L181" s="13" t="b">
        <f t="shared" si="22"/>
        <v>1</v>
      </c>
      <c r="M181" s="13" t="str">
        <f t="shared" si="23"/>
        <v>GET BONUS</v>
      </c>
      <c r="N181" s="13" t="str">
        <f t="shared" si="24"/>
        <v>NO BONUS</v>
      </c>
    </row>
    <row r="182" spans="1:14" x14ac:dyDescent="0.25">
      <c r="A182" s="13">
        <v>177</v>
      </c>
      <c r="B182" s="13">
        <v>36</v>
      </c>
      <c r="C182" s="13" t="str">
        <f t="shared" si="17"/>
        <v>Adult</v>
      </c>
      <c r="D182" s="13" t="s">
        <v>6</v>
      </c>
      <c r="E182" s="13" t="s">
        <v>7</v>
      </c>
      <c r="F182" s="13" t="s">
        <v>123</v>
      </c>
      <c r="G182" s="13">
        <v>7</v>
      </c>
      <c r="H182" s="13" t="str">
        <f t="shared" si="18"/>
        <v>Experienced</v>
      </c>
      <c r="I182" s="65" t="str">
        <f t="shared" si="19"/>
        <v>60000</v>
      </c>
      <c r="J182" s="43">
        <f t="shared" si="20"/>
        <v>18000</v>
      </c>
      <c r="K182" s="13" t="b">
        <f t="shared" si="21"/>
        <v>0</v>
      </c>
      <c r="L182" s="13" t="b">
        <f t="shared" si="22"/>
        <v>1</v>
      </c>
      <c r="M182" s="13" t="str">
        <f t="shared" si="23"/>
        <v>GET BONUS</v>
      </c>
      <c r="N182" s="13" t="str">
        <f t="shared" si="24"/>
        <v>NO BONUS</v>
      </c>
    </row>
    <row r="183" spans="1:14" x14ac:dyDescent="0.25">
      <c r="A183" s="13">
        <v>178</v>
      </c>
      <c r="B183" s="13">
        <v>36</v>
      </c>
      <c r="C183" s="13" t="str">
        <f t="shared" si="17"/>
        <v>Adult</v>
      </c>
      <c r="D183" s="13" t="s">
        <v>6</v>
      </c>
      <c r="E183" s="13" t="s">
        <v>10</v>
      </c>
      <c r="F183" s="13" t="s">
        <v>132</v>
      </c>
      <c r="G183" s="13">
        <v>11</v>
      </c>
      <c r="H183" s="13" t="str">
        <f t="shared" si="18"/>
        <v>Experienced</v>
      </c>
      <c r="I183" s="65" t="str">
        <f t="shared" si="19"/>
        <v>100000</v>
      </c>
      <c r="J183" s="43">
        <f t="shared" si="20"/>
        <v>30000</v>
      </c>
      <c r="K183" s="13" t="b">
        <f t="shared" si="21"/>
        <v>0</v>
      </c>
      <c r="L183" s="13" t="b">
        <f t="shared" si="22"/>
        <v>1</v>
      </c>
      <c r="M183" s="13" t="str">
        <f t="shared" si="23"/>
        <v>GET BONUS</v>
      </c>
      <c r="N183" s="13" t="str">
        <f t="shared" si="24"/>
        <v>NO BONUS</v>
      </c>
    </row>
    <row r="184" spans="1:14" x14ac:dyDescent="0.25">
      <c r="A184" s="13">
        <v>179</v>
      </c>
      <c r="B184" s="13">
        <v>36</v>
      </c>
      <c r="C184" s="13" t="str">
        <f t="shared" si="17"/>
        <v>Adult</v>
      </c>
      <c r="D184" s="13" t="s">
        <v>9</v>
      </c>
      <c r="E184" s="13" t="s">
        <v>7</v>
      </c>
      <c r="F184" s="13" t="s">
        <v>156</v>
      </c>
      <c r="G184" s="13">
        <v>8</v>
      </c>
      <c r="H184" s="13" t="str">
        <f t="shared" si="18"/>
        <v>Experienced</v>
      </c>
      <c r="I184" s="65" t="str">
        <f t="shared" si="19"/>
        <v>60000</v>
      </c>
      <c r="J184" s="43">
        <f t="shared" si="20"/>
        <v>18000</v>
      </c>
      <c r="K184" s="13" t="b">
        <f t="shared" si="21"/>
        <v>1</v>
      </c>
      <c r="L184" s="13" t="b">
        <f t="shared" si="22"/>
        <v>0</v>
      </c>
      <c r="M184" s="13" t="str">
        <f t="shared" si="23"/>
        <v>GET BONUS</v>
      </c>
      <c r="N184" s="13" t="str">
        <f t="shared" si="24"/>
        <v>NO BONUS</v>
      </c>
    </row>
    <row r="185" spans="1:14" x14ac:dyDescent="0.25">
      <c r="A185" s="13">
        <v>180</v>
      </c>
      <c r="B185" s="13">
        <v>36</v>
      </c>
      <c r="C185" s="13" t="str">
        <f t="shared" si="17"/>
        <v>Adult</v>
      </c>
      <c r="D185" s="13" t="s">
        <v>6</v>
      </c>
      <c r="E185" s="13" t="s">
        <v>7</v>
      </c>
      <c r="F185" s="13" t="s">
        <v>129</v>
      </c>
      <c r="G185" s="13">
        <v>7</v>
      </c>
      <c r="H185" s="13" t="str">
        <f t="shared" si="18"/>
        <v>Experienced</v>
      </c>
      <c r="I185" s="65" t="str">
        <f t="shared" si="19"/>
        <v>60000</v>
      </c>
      <c r="J185" s="43">
        <f t="shared" si="20"/>
        <v>18000</v>
      </c>
      <c r="K185" s="13" t="b">
        <f t="shared" si="21"/>
        <v>0</v>
      </c>
      <c r="L185" s="13" t="b">
        <f t="shared" si="22"/>
        <v>1</v>
      </c>
      <c r="M185" s="13" t="str">
        <f t="shared" si="23"/>
        <v>GET BONUS</v>
      </c>
      <c r="N185" s="13" t="str">
        <f t="shared" si="24"/>
        <v>NO BONUS</v>
      </c>
    </row>
    <row r="186" spans="1:14" x14ac:dyDescent="0.25">
      <c r="A186" s="13">
        <v>181</v>
      </c>
      <c r="B186" s="13">
        <v>36</v>
      </c>
      <c r="C186" s="13" t="str">
        <f t="shared" si="17"/>
        <v>Adult</v>
      </c>
      <c r="D186" s="13" t="s">
        <v>6</v>
      </c>
      <c r="E186" s="13" t="s">
        <v>7</v>
      </c>
      <c r="F186" s="13" t="s">
        <v>137</v>
      </c>
      <c r="G186" s="13">
        <v>8</v>
      </c>
      <c r="H186" s="13" t="str">
        <f t="shared" si="18"/>
        <v>Experienced</v>
      </c>
      <c r="I186" s="65" t="str">
        <f t="shared" si="19"/>
        <v>60000</v>
      </c>
      <c r="J186" s="43">
        <f t="shared" si="20"/>
        <v>18000</v>
      </c>
      <c r="K186" s="13" t="b">
        <f t="shared" si="21"/>
        <v>0</v>
      </c>
      <c r="L186" s="13" t="b">
        <f t="shared" si="22"/>
        <v>1</v>
      </c>
      <c r="M186" s="13" t="str">
        <f t="shared" si="23"/>
        <v>GET BONUS</v>
      </c>
      <c r="N186" s="13" t="str">
        <f t="shared" si="24"/>
        <v>NO BONUS</v>
      </c>
    </row>
    <row r="187" spans="1:14" x14ac:dyDescent="0.25">
      <c r="A187" s="13">
        <v>182</v>
      </c>
      <c r="B187" s="13">
        <v>36</v>
      </c>
      <c r="C187" s="13" t="str">
        <f t="shared" si="17"/>
        <v>Adult</v>
      </c>
      <c r="D187" s="13" t="s">
        <v>6</v>
      </c>
      <c r="E187" s="13" t="s">
        <v>7</v>
      </c>
      <c r="F187" s="13" t="s">
        <v>156</v>
      </c>
      <c r="G187" s="13">
        <v>8</v>
      </c>
      <c r="H187" s="13" t="str">
        <f t="shared" si="18"/>
        <v>Experienced</v>
      </c>
      <c r="I187" s="65" t="str">
        <f t="shared" si="19"/>
        <v>60000</v>
      </c>
      <c r="J187" s="43">
        <f t="shared" si="20"/>
        <v>18000</v>
      </c>
      <c r="K187" s="13" t="b">
        <f t="shared" si="21"/>
        <v>0</v>
      </c>
      <c r="L187" s="13" t="b">
        <f t="shared" si="22"/>
        <v>1</v>
      </c>
      <c r="M187" s="13" t="str">
        <f t="shared" si="23"/>
        <v>GET BONUS</v>
      </c>
      <c r="N187" s="13" t="str">
        <f t="shared" si="24"/>
        <v>NO BONUS</v>
      </c>
    </row>
    <row r="188" spans="1:14" x14ac:dyDescent="0.25">
      <c r="A188" s="13">
        <v>183</v>
      </c>
      <c r="B188" s="13">
        <v>36</v>
      </c>
      <c r="C188" s="13" t="str">
        <f t="shared" si="17"/>
        <v>Adult</v>
      </c>
      <c r="D188" s="13" t="s">
        <v>6</v>
      </c>
      <c r="E188" s="13" t="s">
        <v>7</v>
      </c>
      <c r="F188" s="13" t="s">
        <v>113</v>
      </c>
      <c r="G188" s="13">
        <v>8</v>
      </c>
      <c r="H188" s="13" t="str">
        <f t="shared" si="18"/>
        <v>Experienced</v>
      </c>
      <c r="I188" s="65" t="str">
        <f t="shared" si="19"/>
        <v>60000</v>
      </c>
      <c r="J188" s="43">
        <f t="shared" si="20"/>
        <v>18000</v>
      </c>
      <c r="K188" s="13" t="b">
        <f t="shared" si="21"/>
        <v>0</v>
      </c>
      <c r="L188" s="13" t="b">
        <f t="shared" si="22"/>
        <v>1</v>
      </c>
      <c r="M188" s="13" t="str">
        <f t="shared" si="23"/>
        <v>GET BONUS</v>
      </c>
      <c r="N188" s="13" t="str">
        <f t="shared" si="24"/>
        <v>NO BONUS</v>
      </c>
    </row>
    <row r="189" spans="1:14" x14ac:dyDescent="0.25">
      <c r="A189" s="13">
        <v>184</v>
      </c>
      <c r="B189" s="13">
        <v>36</v>
      </c>
      <c r="C189" s="13" t="str">
        <f t="shared" si="17"/>
        <v>Adult</v>
      </c>
      <c r="D189" s="13" t="s">
        <v>6</v>
      </c>
      <c r="E189" s="13" t="s">
        <v>7</v>
      </c>
      <c r="F189" s="13" t="s">
        <v>108</v>
      </c>
      <c r="G189" s="13">
        <v>8</v>
      </c>
      <c r="H189" s="13" t="str">
        <f t="shared" si="18"/>
        <v>Experienced</v>
      </c>
      <c r="I189" s="65" t="str">
        <f t="shared" si="19"/>
        <v>60000</v>
      </c>
      <c r="J189" s="43">
        <f t="shared" si="20"/>
        <v>18000</v>
      </c>
      <c r="K189" s="13" t="b">
        <f t="shared" si="21"/>
        <v>0</v>
      </c>
      <c r="L189" s="13" t="b">
        <f t="shared" si="22"/>
        <v>1</v>
      </c>
      <c r="M189" s="13" t="str">
        <f t="shared" si="23"/>
        <v>GET BONUS</v>
      </c>
      <c r="N189" s="13" t="str">
        <f t="shared" si="24"/>
        <v>NO BONUS</v>
      </c>
    </row>
    <row r="190" spans="1:14" x14ac:dyDescent="0.25">
      <c r="A190" s="13">
        <v>185</v>
      </c>
      <c r="B190" s="13">
        <v>36</v>
      </c>
      <c r="C190" s="13" t="str">
        <f t="shared" si="17"/>
        <v>Adult</v>
      </c>
      <c r="D190" s="13" t="s">
        <v>6</v>
      </c>
      <c r="E190" s="13" t="s">
        <v>7</v>
      </c>
      <c r="F190" s="13" t="s">
        <v>156</v>
      </c>
      <c r="G190" s="13">
        <v>8</v>
      </c>
      <c r="H190" s="13" t="str">
        <f t="shared" si="18"/>
        <v>Experienced</v>
      </c>
      <c r="I190" s="65" t="str">
        <f t="shared" si="19"/>
        <v>60000</v>
      </c>
      <c r="J190" s="43">
        <f t="shared" si="20"/>
        <v>18000</v>
      </c>
      <c r="K190" s="13" t="b">
        <f t="shared" si="21"/>
        <v>0</v>
      </c>
      <c r="L190" s="13" t="b">
        <f t="shared" si="22"/>
        <v>1</v>
      </c>
      <c r="M190" s="13" t="str">
        <f t="shared" si="23"/>
        <v>GET BONUS</v>
      </c>
      <c r="N190" s="13" t="str">
        <f t="shared" si="24"/>
        <v>NO BONUS</v>
      </c>
    </row>
    <row r="191" spans="1:14" x14ac:dyDescent="0.25">
      <c r="A191" s="13">
        <v>186</v>
      </c>
      <c r="B191" s="13">
        <v>36</v>
      </c>
      <c r="C191" s="13" t="str">
        <f t="shared" si="17"/>
        <v>Adult</v>
      </c>
      <c r="D191" s="13" t="s">
        <v>6</v>
      </c>
      <c r="E191" s="13" t="s">
        <v>7</v>
      </c>
      <c r="F191" s="13" t="s">
        <v>137</v>
      </c>
      <c r="G191" s="13">
        <v>9</v>
      </c>
      <c r="H191" s="13" t="str">
        <f t="shared" si="18"/>
        <v>Experienced</v>
      </c>
      <c r="I191" s="65" t="str">
        <f t="shared" si="19"/>
        <v>60000</v>
      </c>
      <c r="J191" s="43">
        <f t="shared" si="20"/>
        <v>18000</v>
      </c>
      <c r="K191" s="13" t="b">
        <f t="shared" si="21"/>
        <v>0</v>
      </c>
      <c r="L191" s="13" t="b">
        <f t="shared" si="22"/>
        <v>1</v>
      </c>
      <c r="M191" s="13" t="str">
        <f t="shared" si="23"/>
        <v>GET BONUS</v>
      </c>
      <c r="N191" s="13" t="str">
        <f t="shared" si="24"/>
        <v>NO BONUS</v>
      </c>
    </row>
    <row r="192" spans="1:14" x14ac:dyDescent="0.25">
      <c r="A192" s="13">
        <v>187</v>
      </c>
      <c r="B192" s="13">
        <v>36</v>
      </c>
      <c r="C192" s="13" t="str">
        <f t="shared" si="17"/>
        <v>Adult</v>
      </c>
      <c r="D192" s="13" t="s">
        <v>9</v>
      </c>
      <c r="E192" s="13" t="s">
        <v>7</v>
      </c>
      <c r="F192" s="13" t="s">
        <v>90</v>
      </c>
      <c r="G192" s="13">
        <v>8</v>
      </c>
      <c r="H192" s="13" t="str">
        <f t="shared" si="18"/>
        <v>Experienced</v>
      </c>
      <c r="I192" s="65" t="str">
        <f t="shared" si="19"/>
        <v>60000</v>
      </c>
      <c r="J192" s="43">
        <f t="shared" si="20"/>
        <v>18000</v>
      </c>
      <c r="K192" s="13" t="b">
        <f t="shared" si="21"/>
        <v>1</v>
      </c>
      <c r="L192" s="13" t="b">
        <f t="shared" si="22"/>
        <v>0</v>
      </c>
      <c r="M192" s="13" t="str">
        <f t="shared" si="23"/>
        <v>GET BONUS</v>
      </c>
      <c r="N192" s="13" t="str">
        <f t="shared" si="24"/>
        <v>NO BONUS</v>
      </c>
    </row>
    <row r="193" spans="1:14" x14ac:dyDescent="0.25">
      <c r="A193" s="13">
        <v>188</v>
      </c>
      <c r="B193" s="13">
        <v>36</v>
      </c>
      <c r="C193" s="13" t="str">
        <f t="shared" si="17"/>
        <v>Adult</v>
      </c>
      <c r="D193" s="13" t="s">
        <v>6</v>
      </c>
      <c r="E193" s="13" t="s">
        <v>7</v>
      </c>
      <c r="F193" s="13" t="s">
        <v>132</v>
      </c>
      <c r="G193" s="13">
        <v>8</v>
      </c>
      <c r="H193" s="13" t="str">
        <f t="shared" si="18"/>
        <v>Experienced</v>
      </c>
      <c r="I193" s="65" t="str">
        <f t="shared" si="19"/>
        <v>60000</v>
      </c>
      <c r="J193" s="43">
        <f t="shared" si="20"/>
        <v>18000</v>
      </c>
      <c r="K193" s="13" t="b">
        <f t="shared" si="21"/>
        <v>0</v>
      </c>
      <c r="L193" s="13" t="b">
        <f t="shared" si="22"/>
        <v>1</v>
      </c>
      <c r="M193" s="13" t="str">
        <f t="shared" si="23"/>
        <v>GET BONUS</v>
      </c>
      <c r="N193" s="13" t="str">
        <f t="shared" si="24"/>
        <v>NO BONUS</v>
      </c>
    </row>
    <row r="194" spans="1:14" x14ac:dyDescent="0.25">
      <c r="A194" s="13">
        <v>189</v>
      </c>
      <c r="B194" s="13">
        <v>36</v>
      </c>
      <c r="C194" s="13" t="str">
        <f t="shared" si="17"/>
        <v>Adult</v>
      </c>
      <c r="D194" s="13" t="s">
        <v>9</v>
      </c>
      <c r="E194" s="13" t="s">
        <v>7</v>
      </c>
      <c r="F194" s="13" t="s">
        <v>90</v>
      </c>
      <c r="G194" s="13">
        <v>8</v>
      </c>
      <c r="H194" s="13" t="str">
        <f t="shared" si="18"/>
        <v>Experienced</v>
      </c>
      <c r="I194" s="65" t="str">
        <f t="shared" si="19"/>
        <v>60000</v>
      </c>
      <c r="J194" s="43">
        <f t="shared" si="20"/>
        <v>18000</v>
      </c>
      <c r="K194" s="13" t="b">
        <f t="shared" si="21"/>
        <v>1</v>
      </c>
      <c r="L194" s="13" t="b">
        <f t="shared" si="22"/>
        <v>0</v>
      </c>
      <c r="M194" s="13" t="str">
        <f t="shared" si="23"/>
        <v>GET BONUS</v>
      </c>
      <c r="N194" s="13" t="str">
        <f t="shared" si="24"/>
        <v>NO BONUS</v>
      </c>
    </row>
    <row r="195" spans="1:14" x14ac:dyDescent="0.25">
      <c r="A195" s="13">
        <v>190</v>
      </c>
      <c r="B195" s="13">
        <v>37</v>
      </c>
      <c r="C195" s="13" t="str">
        <f t="shared" si="17"/>
        <v>Adult</v>
      </c>
      <c r="D195" s="13" t="s">
        <v>9</v>
      </c>
      <c r="E195" s="13" t="s">
        <v>10</v>
      </c>
      <c r="F195" s="13" t="s">
        <v>37</v>
      </c>
      <c r="G195" s="13">
        <v>11</v>
      </c>
      <c r="H195" s="13" t="str">
        <f t="shared" si="18"/>
        <v>Experienced</v>
      </c>
      <c r="I195" s="65" t="str">
        <f t="shared" si="19"/>
        <v>100000</v>
      </c>
      <c r="J195" s="43">
        <f t="shared" si="20"/>
        <v>30000</v>
      </c>
      <c r="K195" s="13" t="b">
        <f t="shared" si="21"/>
        <v>1</v>
      </c>
      <c r="L195" s="13" t="b">
        <f t="shared" si="22"/>
        <v>0</v>
      </c>
      <c r="M195" s="13" t="str">
        <f t="shared" si="23"/>
        <v>GET BONUS</v>
      </c>
      <c r="N195" s="13" t="str">
        <f t="shared" si="24"/>
        <v>GET BONUS</v>
      </c>
    </row>
    <row r="196" spans="1:14" x14ac:dyDescent="0.25">
      <c r="A196" s="13">
        <v>191</v>
      </c>
      <c r="B196" s="13">
        <v>37</v>
      </c>
      <c r="C196" s="13" t="str">
        <f t="shared" si="17"/>
        <v>Adult</v>
      </c>
      <c r="D196" s="13" t="s">
        <v>6</v>
      </c>
      <c r="E196" s="13" t="s">
        <v>7</v>
      </c>
      <c r="F196" s="13" t="s">
        <v>24</v>
      </c>
      <c r="G196" s="13">
        <v>10</v>
      </c>
      <c r="H196" s="13" t="str">
        <f t="shared" si="18"/>
        <v>Experienced</v>
      </c>
      <c r="I196" s="65" t="str">
        <f t="shared" si="19"/>
        <v>60000</v>
      </c>
      <c r="J196" s="43">
        <f t="shared" si="20"/>
        <v>18000</v>
      </c>
      <c r="K196" s="13" t="b">
        <f t="shared" si="21"/>
        <v>0</v>
      </c>
      <c r="L196" s="13" t="b">
        <f t="shared" si="22"/>
        <v>1</v>
      </c>
      <c r="M196" s="13" t="str">
        <f t="shared" si="23"/>
        <v>GET BONUS</v>
      </c>
      <c r="N196" s="13" t="str">
        <f t="shared" si="24"/>
        <v>NO BONUS</v>
      </c>
    </row>
    <row r="197" spans="1:14" x14ac:dyDescent="0.25">
      <c r="A197" s="13">
        <v>192</v>
      </c>
      <c r="B197" s="13">
        <v>37</v>
      </c>
      <c r="C197" s="13" t="str">
        <f t="shared" si="17"/>
        <v>Adult</v>
      </c>
      <c r="D197" s="13" t="s">
        <v>6</v>
      </c>
      <c r="E197" s="13" t="s">
        <v>7</v>
      </c>
      <c r="F197" s="13" t="s">
        <v>106</v>
      </c>
      <c r="G197" s="13">
        <v>9</v>
      </c>
      <c r="H197" s="13" t="str">
        <f t="shared" si="18"/>
        <v>Experienced</v>
      </c>
      <c r="I197" s="65" t="str">
        <f t="shared" si="19"/>
        <v>60000</v>
      </c>
      <c r="J197" s="43">
        <f t="shared" si="20"/>
        <v>18000</v>
      </c>
      <c r="K197" s="13" t="b">
        <f t="shared" si="21"/>
        <v>0</v>
      </c>
      <c r="L197" s="13" t="b">
        <f t="shared" si="22"/>
        <v>1</v>
      </c>
      <c r="M197" s="13" t="str">
        <f t="shared" si="23"/>
        <v>GET BONUS</v>
      </c>
      <c r="N197" s="13" t="str">
        <f t="shared" si="24"/>
        <v>NO BONUS</v>
      </c>
    </row>
    <row r="198" spans="1:14" x14ac:dyDescent="0.25">
      <c r="A198" s="13">
        <v>193</v>
      </c>
      <c r="B198" s="13">
        <v>37</v>
      </c>
      <c r="C198" s="13" t="str">
        <f t="shared" ref="C198:C261" si="25">IF(B198&gt;=50,"Senior",IF(B198&gt;=25,"Adult","Teenager"))</f>
        <v>Adult</v>
      </c>
      <c r="D198" s="13" t="s">
        <v>9</v>
      </c>
      <c r="E198" s="13" t="s">
        <v>10</v>
      </c>
      <c r="F198" s="13" t="s">
        <v>115</v>
      </c>
      <c r="G198" s="13">
        <v>9</v>
      </c>
      <c r="H198" s="13" t="str">
        <f t="shared" si="18"/>
        <v>Experienced</v>
      </c>
      <c r="I198" s="65" t="str">
        <f t="shared" si="19"/>
        <v>60000</v>
      </c>
      <c r="J198" s="43">
        <f t="shared" si="20"/>
        <v>18000</v>
      </c>
      <c r="K198" s="13" t="b">
        <f t="shared" si="21"/>
        <v>1</v>
      </c>
      <c r="L198" s="13" t="b">
        <f t="shared" si="22"/>
        <v>0</v>
      </c>
      <c r="M198" s="13" t="str">
        <f t="shared" si="23"/>
        <v>GET BONUS</v>
      </c>
      <c r="N198" s="13" t="str">
        <f t="shared" si="24"/>
        <v>GET BONUS</v>
      </c>
    </row>
    <row r="199" spans="1:14" x14ac:dyDescent="0.25">
      <c r="A199" s="13">
        <v>194</v>
      </c>
      <c r="B199" s="13">
        <v>37</v>
      </c>
      <c r="C199" s="13" t="str">
        <f t="shared" si="25"/>
        <v>Adult</v>
      </c>
      <c r="D199" s="13" t="s">
        <v>9</v>
      </c>
      <c r="E199" s="13" t="s">
        <v>10</v>
      </c>
      <c r="F199" s="13" t="s">
        <v>103</v>
      </c>
      <c r="G199" s="13">
        <v>9</v>
      </c>
      <c r="H199" s="13" t="str">
        <f t="shared" ref="H199:H262" si="26">IF(G199&gt;=4,"Experienced",IF(G199&lt;=3,"Fresher"))</f>
        <v>Experienced</v>
      </c>
      <c r="I199" s="65" t="str">
        <f t="shared" ref="I199:I262" si="27">IF(G199&lt;=1,"20000",IF(G199&lt;=3,"30000",IF(G199&lt;=10,"60000",IF(G199&lt;=15,"100000",IF(G199&lt;=20,"150000",IF(G199&lt;=25,"200000"))))))</f>
        <v>60000</v>
      </c>
      <c r="J199" s="43">
        <f t="shared" ref="J199:J262" si="28">IF(I199&gt;=100000,I199*30%,IF(I199&gt;=50000,I199*20%,IF(I199&lt;50000,I199*10%)))</f>
        <v>18000</v>
      </c>
      <c r="K199" s="13" t="b">
        <f t="shared" ref="K199:K262" si="29">OR(D199="Female",H199="Fresher")</f>
        <v>1</v>
      </c>
      <c r="L199" s="13" t="b">
        <f t="shared" ref="L199:L262" si="30">AND(C199="Adult",D199="Male",H199="Experienced")</f>
        <v>0</v>
      </c>
      <c r="M199" s="13" t="str">
        <f t="shared" ref="M199:M262" si="31">IF(OR(C199="Senior",H199="Experienced"),"GET BONUS","NO BONUS")</f>
        <v>GET BONUS</v>
      </c>
      <c r="N199" s="13" t="str">
        <f t="shared" ref="N199:N262" si="32">IF(AND(D199="Female",E199="Master's"),"GET BONUS","NO BONUS")</f>
        <v>GET BONUS</v>
      </c>
    </row>
    <row r="200" spans="1:14" x14ac:dyDescent="0.25">
      <c r="A200" s="13">
        <v>195</v>
      </c>
      <c r="B200" s="13">
        <v>37</v>
      </c>
      <c r="C200" s="13" t="str">
        <f t="shared" si="25"/>
        <v>Adult</v>
      </c>
      <c r="D200" s="13" t="s">
        <v>6</v>
      </c>
      <c r="E200" s="13" t="s">
        <v>10</v>
      </c>
      <c r="F200" s="13" t="s">
        <v>108</v>
      </c>
      <c r="G200" s="13">
        <v>9</v>
      </c>
      <c r="H200" s="13" t="str">
        <f t="shared" si="26"/>
        <v>Experienced</v>
      </c>
      <c r="I200" s="65" t="str">
        <f t="shared" si="27"/>
        <v>60000</v>
      </c>
      <c r="J200" s="43">
        <f t="shared" si="28"/>
        <v>18000</v>
      </c>
      <c r="K200" s="13" t="b">
        <f t="shared" si="29"/>
        <v>0</v>
      </c>
      <c r="L200" s="13" t="b">
        <f t="shared" si="30"/>
        <v>1</v>
      </c>
      <c r="M200" s="13" t="str">
        <f t="shared" si="31"/>
        <v>GET BONUS</v>
      </c>
      <c r="N200" s="13" t="str">
        <f t="shared" si="32"/>
        <v>NO BONUS</v>
      </c>
    </row>
    <row r="201" spans="1:14" x14ac:dyDescent="0.25">
      <c r="A201" s="13">
        <v>196</v>
      </c>
      <c r="B201" s="13">
        <v>37</v>
      </c>
      <c r="C201" s="13" t="str">
        <f t="shared" si="25"/>
        <v>Adult</v>
      </c>
      <c r="D201" s="13" t="s">
        <v>6</v>
      </c>
      <c r="E201" s="13" t="s">
        <v>10</v>
      </c>
      <c r="F201" s="13" t="s">
        <v>175</v>
      </c>
      <c r="G201" s="13">
        <v>9</v>
      </c>
      <c r="H201" s="13" t="str">
        <f t="shared" si="26"/>
        <v>Experienced</v>
      </c>
      <c r="I201" s="65" t="str">
        <f t="shared" si="27"/>
        <v>60000</v>
      </c>
      <c r="J201" s="43">
        <f t="shared" si="28"/>
        <v>18000</v>
      </c>
      <c r="K201" s="13" t="b">
        <f t="shared" si="29"/>
        <v>0</v>
      </c>
      <c r="L201" s="13" t="b">
        <f t="shared" si="30"/>
        <v>1</v>
      </c>
      <c r="M201" s="13" t="str">
        <f t="shared" si="31"/>
        <v>GET BONUS</v>
      </c>
      <c r="N201" s="13" t="str">
        <f t="shared" si="32"/>
        <v>NO BONUS</v>
      </c>
    </row>
    <row r="202" spans="1:14" x14ac:dyDescent="0.25">
      <c r="A202" s="13">
        <v>197</v>
      </c>
      <c r="B202" s="13">
        <v>37</v>
      </c>
      <c r="C202" s="13" t="str">
        <f t="shared" si="25"/>
        <v>Adult</v>
      </c>
      <c r="D202" s="13" t="s">
        <v>9</v>
      </c>
      <c r="E202" s="13" t="s">
        <v>7</v>
      </c>
      <c r="F202" s="13" t="s">
        <v>73</v>
      </c>
      <c r="G202" s="13">
        <v>9</v>
      </c>
      <c r="H202" s="13" t="str">
        <f t="shared" si="26"/>
        <v>Experienced</v>
      </c>
      <c r="I202" s="65" t="str">
        <f t="shared" si="27"/>
        <v>60000</v>
      </c>
      <c r="J202" s="43">
        <f t="shared" si="28"/>
        <v>18000</v>
      </c>
      <c r="K202" s="13" t="b">
        <f t="shared" si="29"/>
        <v>1</v>
      </c>
      <c r="L202" s="13" t="b">
        <f t="shared" si="30"/>
        <v>0</v>
      </c>
      <c r="M202" s="13" t="str">
        <f t="shared" si="31"/>
        <v>GET BONUS</v>
      </c>
      <c r="N202" s="13" t="str">
        <f t="shared" si="32"/>
        <v>NO BONUS</v>
      </c>
    </row>
    <row r="203" spans="1:14" x14ac:dyDescent="0.25">
      <c r="A203" s="13">
        <v>198</v>
      </c>
      <c r="B203" s="13">
        <v>37</v>
      </c>
      <c r="C203" s="13" t="str">
        <f t="shared" si="25"/>
        <v>Adult</v>
      </c>
      <c r="D203" s="13" t="s">
        <v>9</v>
      </c>
      <c r="E203" s="13" t="s">
        <v>7</v>
      </c>
      <c r="F203" s="13" t="s">
        <v>177</v>
      </c>
      <c r="G203" s="13">
        <v>10</v>
      </c>
      <c r="H203" s="13" t="str">
        <f t="shared" si="26"/>
        <v>Experienced</v>
      </c>
      <c r="I203" s="65" t="str">
        <f t="shared" si="27"/>
        <v>60000</v>
      </c>
      <c r="J203" s="43">
        <f t="shared" si="28"/>
        <v>18000</v>
      </c>
      <c r="K203" s="13" t="b">
        <f t="shared" si="29"/>
        <v>1</v>
      </c>
      <c r="L203" s="13" t="b">
        <f t="shared" si="30"/>
        <v>0</v>
      </c>
      <c r="M203" s="13" t="str">
        <f t="shared" si="31"/>
        <v>GET BONUS</v>
      </c>
      <c r="N203" s="13" t="str">
        <f t="shared" si="32"/>
        <v>NO BONUS</v>
      </c>
    </row>
    <row r="204" spans="1:14" x14ac:dyDescent="0.25">
      <c r="A204" s="13">
        <v>199</v>
      </c>
      <c r="B204" s="13">
        <v>37</v>
      </c>
      <c r="C204" s="13" t="str">
        <f t="shared" si="25"/>
        <v>Adult</v>
      </c>
      <c r="D204" s="13" t="s">
        <v>6</v>
      </c>
      <c r="E204" s="13" t="s">
        <v>7</v>
      </c>
      <c r="F204" s="13" t="s">
        <v>73</v>
      </c>
      <c r="G204" s="13">
        <v>8</v>
      </c>
      <c r="H204" s="13" t="str">
        <f t="shared" si="26"/>
        <v>Experienced</v>
      </c>
      <c r="I204" s="65" t="str">
        <f t="shared" si="27"/>
        <v>60000</v>
      </c>
      <c r="J204" s="43">
        <f t="shared" si="28"/>
        <v>18000</v>
      </c>
      <c r="K204" s="13" t="b">
        <f t="shared" si="29"/>
        <v>0</v>
      </c>
      <c r="L204" s="13" t="b">
        <f t="shared" si="30"/>
        <v>1</v>
      </c>
      <c r="M204" s="13" t="str">
        <f t="shared" si="31"/>
        <v>GET BONUS</v>
      </c>
      <c r="N204" s="13" t="str">
        <f t="shared" si="32"/>
        <v>NO BONUS</v>
      </c>
    </row>
    <row r="205" spans="1:14" x14ac:dyDescent="0.25">
      <c r="A205" s="13">
        <v>200</v>
      </c>
      <c r="B205" s="13">
        <v>37</v>
      </c>
      <c r="C205" s="13" t="str">
        <f t="shared" si="25"/>
        <v>Adult</v>
      </c>
      <c r="D205" s="13" t="s">
        <v>6</v>
      </c>
      <c r="E205" s="13" t="s">
        <v>7</v>
      </c>
      <c r="F205" s="13" t="s">
        <v>103</v>
      </c>
      <c r="G205" s="13">
        <v>9</v>
      </c>
      <c r="H205" s="13" t="str">
        <f t="shared" si="26"/>
        <v>Experienced</v>
      </c>
      <c r="I205" s="65" t="str">
        <f t="shared" si="27"/>
        <v>60000</v>
      </c>
      <c r="J205" s="43">
        <f t="shared" si="28"/>
        <v>18000</v>
      </c>
      <c r="K205" s="13" t="b">
        <f t="shared" si="29"/>
        <v>0</v>
      </c>
      <c r="L205" s="13" t="b">
        <f t="shared" si="30"/>
        <v>1</v>
      </c>
      <c r="M205" s="13" t="str">
        <f t="shared" si="31"/>
        <v>GET BONUS</v>
      </c>
      <c r="N205" s="13" t="str">
        <f t="shared" si="32"/>
        <v>NO BONUS</v>
      </c>
    </row>
    <row r="206" spans="1:14" x14ac:dyDescent="0.25">
      <c r="A206" s="13">
        <v>201</v>
      </c>
      <c r="B206" s="13">
        <v>37</v>
      </c>
      <c r="C206" s="13" t="str">
        <f t="shared" si="25"/>
        <v>Adult</v>
      </c>
      <c r="D206" s="13" t="s">
        <v>6</v>
      </c>
      <c r="E206" s="13" t="s">
        <v>7</v>
      </c>
      <c r="F206" s="13" t="s">
        <v>132</v>
      </c>
      <c r="G206" s="13">
        <v>10</v>
      </c>
      <c r="H206" s="13" t="str">
        <f t="shared" si="26"/>
        <v>Experienced</v>
      </c>
      <c r="I206" s="65" t="str">
        <f t="shared" si="27"/>
        <v>60000</v>
      </c>
      <c r="J206" s="43">
        <f t="shared" si="28"/>
        <v>18000</v>
      </c>
      <c r="K206" s="13" t="b">
        <f t="shared" si="29"/>
        <v>0</v>
      </c>
      <c r="L206" s="13" t="b">
        <f t="shared" si="30"/>
        <v>1</v>
      </c>
      <c r="M206" s="13" t="str">
        <f t="shared" si="31"/>
        <v>GET BONUS</v>
      </c>
      <c r="N206" s="13" t="str">
        <f t="shared" si="32"/>
        <v>NO BONUS</v>
      </c>
    </row>
    <row r="207" spans="1:14" x14ac:dyDescent="0.25">
      <c r="A207" s="13">
        <v>202</v>
      </c>
      <c r="B207" s="13">
        <v>38</v>
      </c>
      <c r="C207" s="13" t="str">
        <f t="shared" si="25"/>
        <v>Adult</v>
      </c>
      <c r="D207" s="13" t="s">
        <v>6</v>
      </c>
      <c r="E207" s="13" t="s">
        <v>12</v>
      </c>
      <c r="F207" s="13" t="s">
        <v>20</v>
      </c>
      <c r="G207" s="13">
        <v>10</v>
      </c>
      <c r="H207" s="13" t="str">
        <f t="shared" si="26"/>
        <v>Experienced</v>
      </c>
      <c r="I207" s="65" t="str">
        <f t="shared" si="27"/>
        <v>60000</v>
      </c>
      <c r="J207" s="43">
        <f t="shared" si="28"/>
        <v>18000</v>
      </c>
      <c r="K207" s="13" t="b">
        <f t="shared" si="29"/>
        <v>0</v>
      </c>
      <c r="L207" s="13" t="b">
        <f t="shared" si="30"/>
        <v>1</v>
      </c>
      <c r="M207" s="13" t="str">
        <f t="shared" si="31"/>
        <v>GET BONUS</v>
      </c>
      <c r="N207" s="13" t="str">
        <f t="shared" si="32"/>
        <v>NO BONUS</v>
      </c>
    </row>
    <row r="208" spans="1:14" x14ac:dyDescent="0.25">
      <c r="A208" s="13">
        <v>203</v>
      </c>
      <c r="B208" s="13">
        <v>38</v>
      </c>
      <c r="C208" s="13" t="str">
        <f t="shared" si="25"/>
        <v>Adult</v>
      </c>
      <c r="D208" s="13" t="s">
        <v>6</v>
      </c>
      <c r="E208" s="13" t="s">
        <v>12</v>
      </c>
      <c r="F208" s="13" t="s">
        <v>20</v>
      </c>
      <c r="G208" s="13">
        <v>11</v>
      </c>
      <c r="H208" s="13" t="str">
        <f t="shared" si="26"/>
        <v>Experienced</v>
      </c>
      <c r="I208" s="65" t="str">
        <f t="shared" si="27"/>
        <v>100000</v>
      </c>
      <c r="J208" s="43">
        <f t="shared" si="28"/>
        <v>30000</v>
      </c>
      <c r="K208" s="13" t="b">
        <f t="shared" si="29"/>
        <v>0</v>
      </c>
      <c r="L208" s="13" t="b">
        <f t="shared" si="30"/>
        <v>1</v>
      </c>
      <c r="M208" s="13" t="str">
        <f t="shared" si="31"/>
        <v>GET BONUS</v>
      </c>
      <c r="N208" s="13" t="str">
        <f t="shared" si="32"/>
        <v>NO BONUS</v>
      </c>
    </row>
    <row r="209" spans="1:14" x14ac:dyDescent="0.25">
      <c r="A209" s="13">
        <v>204</v>
      </c>
      <c r="B209" s="13">
        <v>38</v>
      </c>
      <c r="C209" s="13" t="str">
        <f t="shared" si="25"/>
        <v>Adult</v>
      </c>
      <c r="D209" s="13" t="s">
        <v>9</v>
      </c>
      <c r="E209" s="13" t="s">
        <v>10</v>
      </c>
      <c r="F209" s="13" t="s">
        <v>69</v>
      </c>
      <c r="G209" s="13">
        <v>10</v>
      </c>
      <c r="H209" s="13" t="str">
        <f t="shared" si="26"/>
        <v>Experienced</v>
      </c>
      <c r="I209" s="65" t="str">
        <f t="shared" si="27"/>
        <v>60000</v>
      </c>
      <c r="J209" s="43">
        <f t="shared" si="28"/>
        <v>18000</v>
      </c>
      <c r="K209" s="13" t="b">
        <f t="shared" si="29"/>
        <v>1</v>
      </c>
      <c r="L209" s="13" t="b">
        <f t="shared" si="30"/>
        <v>0</v>
      </c>
      <c r="M209" s="13" t="str">
        <f t="shared" si="31"/>
        <v>GET BONUS</v>
      </c>
      <c r="N209" s="13" t="str">
        <f t="shared" si="32"/>
        <v>GET BONUS</v>
      </c>
    </row>
    <row r="210" spans="1:14" x14ac:dyDescent="0.25">
      <c r="A210" s="13">
        <v>205</v>
      </c>
      <c r="B210" s="13">
        <v>38</v>
      </c>
      <c r="C210" s="13" t="str">
        <f t="shared" si="25"/>
        <v>Adult</v>
      </c>
      <c r="D210" s="13" t="s">
        <v>9</v>
      </c>
      <c r="E210" s="13" t="s">
        <v>10</v>
      </c>
      <c r="F210" s="13" t="s">
        <v>94</v>
      </c>
      <c r="G210" s="13">
        <v>10</v>
      </c>
      <c r="H210" s="13" t="str">
        <f t="shared" si="26"/>
        <v>Experienced</v>
      </c>
      <c r="I210" s="65" t="str">
        <f t="shared" si="27"/>
        <v>60000</v>
      </c>
      <c r="J210" s="43">
        <f t="shared" si="28"/>
        <v>18000</v>
      </c>
      <c r="K210" s="13" t="b">
        <f t="shared" si="29"/>
        <v>1</v>
      </c>
      <c r="L210" s="13" t="b">
        <f t="shared" si="30"/>
        <v>0</v>
      </c>
      <c r="M210" s="13" t="str">
        <f t="shared" si="31"/>
        <v>GET BONUS</v>
      </c>
      <c r="N210" s="13" t="str">
        <f t="shared" si="32"/>
        <v>GET BONUS</v>
      </c>
    </row>
    <row r="211" spans="1:14" x14ac:dyDescent="0.25">
      <c r="A211" s="13">
        <v>206</v>
      </c>
      <c r="B211" s="13">
        <v>38</v>
      </c>
      <c r="C211" s="13" t="str">
        <f t="shared" si="25"/>
        <v>Adult</v>
      </c>
      <c r="D211" s="13" t="s">
        <v>6</v>
      </c>
      <c r="E211" s="13" t="s">
        <v>7</v>
      </c>
      <c r="F211" s="13" t="s">
        <v>59</v>
      </c>
      <c r="G211" s="13">
        <v>11</v>
      </c>
      <c r="H211" s="13" t="str">
        <f t="shared" si="26"/>
        <v>Experienced</v>
      </c>
      <c r="I211" s="65" t="str">
        <f t="shared" si="27"/>
        <v>100000</v>
      </c>
      <c r="J211" s="43">
        <f t="shared" si="28"/>
        <v>30000</v>
      </c>
      <c r="K211" s="13" t="b">
        <f t="shared" si="29"/>
        <v>0</v>
      </c>
      <c r="L211" s="13" t="b">
        <f t="shared" si="30"/>
        <v>1</v>
      </c>
      <c r="M211" s="13" t="str">
        <f t="shared" si="31"/>
        <v>GET BONUS</v>
      </c>
      <c r="N211" s="13" t="str">
        <f t="shared" si="32"/>
        <v>NO BONUS</v>
      </c>
    </row>
    <row r="212" spans="1:14" x14ac:dyDescent="0.25">
      <c r="A212" s="13">
        <v>207</v>
      </c>
      <c r="B212" s="13">
        <v>38</v>
      </c>
      <c r="C212" s="13" t="str">
        <f t="shared" si="25"/>
        <v>Adult</v>
      </c>
      <c r="D212" s="13" t="s">
        <v>9</v>
      </c>
      <c r="E212" s="13" t="s">
        <v>7</v>
      </c>
      <c r="F212" s="13" t="s">
        <v>129</v>
      </c>
      <c r="G212" s="13">
        <v>10</v>
      </c>
      <c r="H212" s="13" t="str">
        <f t="shared" si="26"/>
        <v>Experienced</v>
      </c>
      <c r="I212" s="65" t="str">
        <f t="shared" si="27"/>
        <v>60000</v>
      </c>
      <c r="J212" s="43">
        <f t="shared" si="28"/>
        <v>18000</v>
      </c>
      <c r="K212" s="13" t="b">
        <f t="shared" si="29"/>
        <v>1</v>
      </c>
      <c r="L212" s="13" t="b">
        <f t="shared" si="30"/>
        <v>0</v>
      </c>
      <c r="M212" s="13" t="str">
        <f t="shared" si="31"/>
        <v>GET BONUS</v>
      </c>
      <c r="N212" s="13" t="str">
        <f t="shared" si="32"/>
        <v>NO BONUS</v>
      </c>
    </row>
    <row r="213" spans="1:14" x14ac:dyDescent="0.25">
      <c r="A213" s="13">
        <v>208</v>
      </c>
      <c r="B213" s="13">
        <v>38</v>
      </c>
      <c r="C213" s="13" t="str">
        <f t="shared" si="25"/>
        <v>Adult</v>
      </c>
      <c r="D213" s="13" t="s">
        <v>9</v>
      </c>
      <c r="E213" s="13" t="s">
        <v>7</v>
      </c>
      <c r="F213" s="13" t="s">
        <v>153</v>
      </c>
      <c r="G213" s="13">
        <v>10</v>
      </c>
      <c r="H213" s="13" t="str">
        <f t="shared" si="26"/>
        <v>Experienced</v>
      </c>
      <c r="I213" s="65" t="str">
        <f t="shared" si="27"/>
        <v>60000</v>
      </c>
      <c r="J213" s="43">
        <f t="shared" si="28"/>
        <v>18000</v>
      </c>
      <c r="K213" s="13" t="b">
        <f t="shared" si="29"/>
        <v>1</v>
      </c>
      <c r="L213" s="13" t="b">
        <f t="shared" si="30"/>
        <v>0</v>
      </c>
      <c r="M213" s="13" t="str">
        <f t="shared" si="31"/>
        <v>GET BONUS</v>
      </c>
      <c r="N213" s="13" t="str">
        <f t="shared" si="32"/>
        <v>NO BONUS</v>
      </c>
    </row>
    <row r="214" spans="1:14" x14ac:dyDescent="0.25">
      <c r="A214" s="13">
        <v>209</v>
      </c>
      <c r="B214" s="13">
        <v>38</v>
      </c>
      <c r="C214" s="13" t="str">
        <f t="shared" si="25"/>
        <v>Adult</v>
      </c>
      <c r="D214" s="13" t="s">
        <v>6</v>
      </c>
      <c r="E214" s="13" t="s">
        <v>10</v>
      </c>
      <c r="F214" s="13" t="s">
        <v>169</v>
      </c>
      <c r="G214" s="13">
        <v>9</v>
      </c>
      <c r="H214" s="13" t="str">
        <f t="shared" si="26"/>
        <v>Experienced</v>
      </c>
      <c r="I214" s="65" t="str">
        <f t="shared" si="27"/>
        <v>60000</v>
      </c>
      <c r="J214" s="43">
        <f t="shared" si="28"/>
        <v>18000</v>
      </c>
      <c r="K214" s="13" t="b">
        <f t="shared" si="29"/>
        <v>0</v>
      </c>
      <c r="L214" s="13" t="b">
        <f t="shared" si="30"/>
        <v>1</v>
      </c>
      <c r="M214" s="13" t="str">
        <f t="shared" si="31"/>
        <v>GET BONUS</v>
      </c>
      <c r="N214" s="13" t="str">
        <f t="shared" si="32"/>
        <v>NO BONUS</v>
      </c>
    </row>
    <row r="215" spans="1:14" x14ac:dyDescent="0.25">
      <c r="A215" s="13">
        <v>210</v>
      </c>
      <c r="B215" s="13">
        <v>38</v>
      </c>
      <c r="C215" s="13" t="str">
        <f t="shared" si="25"/>
        <v>Adult</v>
      </c>
      <c r="D215" s="13" t="s">
        <v>9</v>
      </c>
      <c r="E215" s="13" t="s">
        <v>7</v>
      </c>
      <c r="F215" s="13" t="s">
        <v>113</v>
      </c>
      <c r="G215" s="13">
        <v>10</v>
      </c>
      <c r="H215" s="13" t="str">
        <f t="shared" si="26"/>
        <v>Experienced</v>
      </c>
      <c r="I215" s="65" t="str">
        <f t="shared" si="27"/>
        <v>60000</v>
      </c>
      <c r="J215" s="43">
        <f t="shared" si="28"/>
        <v>18000</v>
      </c>
      <c r="K215" s="13" t="b">
        <f t="shared" si="29"/>
        <v>1</v>
      </c>
      <c r="L215" s="13" t="b">
        <f t="shared" si="30"/>
        <v>0</v>
      </c>
      <c r="M215" s="13" t="str">
        <f t="shared" si="31"/>
        <v>GET BONUS</v>
      </c>
      <c r="N215" s="13" t="str">
        <f t="shared" si="32"/>
        <v>NO BONUS</v>
      </c>
    </row>
    <row r="216" spans="1:14" x14ac:dyDescent="0.25">
      <c r="A216" s="13">
        <v>211</v>
      </c>
      <c r="B216" s="13">
        <v>38</v>
      </c>
      <c r="C216" s="13" t="str">
        <f t="shared" si="25"/>
        <v>Adult</v>
      </c>
      <c r="D216" s="13" t="s">
        <v>6</v>
      </c>
      <c r="E216" s="13" t="s">
        <v>10</v>
      </c>
      <c r="F216" s="13" t="s">
        <v>169</v>
      </c>
      <c r="G216" s="13">
        <v>9</v>
      </c>
      <c r="H216" s="13" t="str">
        <f t="shared" si="26"/>
        <v>Experienced</v>
      </c>
      <c r="I216" s="65" t="str">
        <f t="shared" si="27"/>
        <v>60000</v>
      </c>
      <c r="J216" s="43">
        <f t="shared" si="28"/>
        <v>18000</v>
      </c>
      <c r="K216" s="13" t="b">
        <f t="shared" si="29"/>
        <v>0</v>
      </c>
      <c r="L216" s="13" t="b">
        <f t="shared" si="30"/>
        <v>1</v>
      </c>
      <c r="M216" s="13" t="str">
        <f t="shared" si="31"/>
        <v>GET BONUS</v>
      </c>
      <c r="N216" s="13" t="str">
        <f t="shared" si="32"/>
        <v>NO BONUS</v>
      </c>
    </row>
    <row r="217" spans="1:14" x14ac:dyDescent="0.25">
      <c r="A217" s="13">
        <v>212</v>
      </c>
      <c r="B217" s="13">
        <v>38</v>
      </c>
      <c r="C217" s="13" t="str">
        <f t="shared" si="25"/>
        <v>Adult</v>
      </c>
      <c r="D217" s="13" t="s">
        <v>9</v>
      </c>
      <c r="E217" s="13" t="s">
        <v>7</v>
      </c>
      <c r="F217" s="13" t="s">
        <v>87</v>
      </c>
      <c r="G217" s="13">
        <v>9</v>
      </c>
      <c r="H217" s="13" t="str">
        <f t="shared" si="26"/>
        <v>Experienced</v>
      </c>
      <c r="I217" s="65" t="str">
        <f t="shared" si="27"/>
        <v>60000</v>
      </c>
      <c r="J217" s="43">
        <f t="shared" si="28"/>
        <v>18000</v>
      </c>
      <c r="K217" s="13" t="b">
        <f t="shared" si="29"/>
        <v>1</v>
      </c>
      <c r="L217" s="13" t="b">
        <f t="shared" si="30"/>
        <v>0</v>
      </c>
      <c r="M217" s="13" t="str">
        <f t="shared" si="31"/>
        <v>GET BONUS</v>
      </c>
      <c r="N217" s="13" t="str">
        <f t="shared" si="32"/>
        <v>NO BONUS</v>
      </c>
    </row>
    <row r="218" spans="1:14" x14ac:dyDescent="0.25">
      <c r="A218" s="13">
        <v>213</v>
      </c>
      <c r="B218" s="13">
        <v>38</v>
      </c>
      <c r="C218" s="13" t="str">
        <f t="shared" si="25"/>
        <v>Adult</v>
      </c>
      <c r="D218" s="13" t="s">
        <v>9</v>
      </c>
      <c r="E218" s="13" t="s">
        <v>7</v>
      </c>
      <c r="F218" s="13" t="s">
        <v>108</v>
      </c>
      <c r="G218" s="13">
        <v>10</v>
      </c>
      <c r="H218" s="13" t="str">
        <f t="shared" si="26"/>
        <v>Experienced</v>
      </c>
      <c r="I218" s="65" t="str">
        <f t="shared" si="27"/>
        <v>60000</v>
      </c>
      <c r="J218" s="43">
        <f t="shared" si="28"/>
        <v>18000</v>
      </c>
      <c r="K218" s="13" t="b">
        <f t="shared" si="29"/>
        <v>1</v>
      </c>
      <c r="L218" s="13" t="b">
        <f t="shared" si="30"/>
        <v>0</v>
      </c>
      <c r="M218" s="13" t="str">
        <f t="shared" si="31"/>
        <v>GET BONUS</v>
      </c>
      <c r="N218" s="13" t="str">
        <f t="shared" si="32"/>
        <v>NO BONUS</v>
      </c>
    </row>
    <row r="219" spans="1:14" x14ac:dyDescent="0.25">
      <c r="A219" s="13">
        <v>214</v>
      </c>
      <c r="B219" s="13">
        <v>38</v>
      </c>
      <c r="C219" s="13" t="str">
        <f t="shared" si="25"/>
        <v>Adult</v>
      </c>
      <c r="D219" s="13" t="s">
        <v>9</v>
      </c>
      <c r="E219" s="13" t="s">
        <v>7</v>
      </c>
      <c r="F219" s="13" t="s">
        <v>182</v>
      </c>
      <c r="G219" s="13">
        <v>9</v>
      </c>
      <c r="H219" s="13" t="str">
        <f t="shared" si="26"/>
        <v>Experienced</v>
      </c>
      <c r="I219" s="65" t="str">
        <f t="shared" si="27"/>
        <v>60000</v>
      </c>
      <c r="J219" s="43">
        <f t="shared" si="28"/>
        <v>18000</v>
      </c>
      <c r="K219" s="13" t="b">
        <f t="shared" si="29"/>
        <v>1</v>
      </c>
      <c r="L219" s="13" t="b">
        <f t="shared" si="30"/>
        <v>0</v>
      </c>
      <c r="M219" s="13" t="str">
        <f t="shared" si="31"/>
        <v>GET BONUS</v>
      </c>
      <c r="N219" s="13" t="str">
        <f t="shared" si="32"/>
        <v>NO BONUS</v>
      </c>
    </row>
    <row r="220" spans="1:14" x14ac:dyDescent="0.25">
      <c r="A220" s="13">
        <v>215</v>
      </c>
      <c r="B220" s="13">
        <v>38</v>
      </c>
      <c r="C220" s="13" t="str">
        <f t="shared" si="25"/>
        <v>Adult</v>
      </c>
      <c r="D220" s="13" t="s">
        <v>9</v>
      </c>
      <c r="E220" s="13" t="s">
        <v>7</v>
      </c>
      <c r="F220" s="13" t="s">
        <v>108</v>
      </c>
      <c r="G220" s="13">
        <v>10</v>
      </c>
      <c r="H220" s="13" t="str">
        <f t="shared" si="26"/>
        <v>Experienced</v>
      </c>
      <c r="I220" s="65" t="str">
        <f t="shared" si="27"/>
        <v>60000</v>
      </c>
      <c r="J220" s="43">
        <f t="shared" si="28"/>
        <v>18000</v>
      </c>
      <c r="K220" s="13" t="b">
        <f t="shared" si="29"/>
        <v>1</v>
      </c>
      <c r="L220" s="13" t="b">
        <f t="shared" si="30"/>
        <v>0</v>
      </c>
      <c r="M220" s="13" t="str">
        <f t="shared" si="31"/>
        <v>GET BONUS</v>
      </c>
      <c r="N220" s="13" t="str">
        <f t="shared" si="32"/>
        <v>NO BONUS</v>
      </c>
    </row>
    <row r="221" spans="1:14" x14ac:dyDescent="0.25">
      <c r="A221" s="13">
        <v>216</v>
      </c>
      <c r="B221" s="13">
        <v>38</v>
      </c>
      <c r="C221" s="13" t="str">
        <f t="shared" si="25"/>
        <v>Adult</v>
      </c>
      <c r="D221" s="13" t="s">
        <v>9</v>
      </c>
      <c r="E221" s="13" t="s">
        <v>7</v>
      </c>
      <c r="F221" s="13" t="s">
        <v>108</v>
      </c>
      <c r="G221" s="13">
        <v>10</v>
      </c>
      <c r="H221" s="13" t="str">
        <f t="shared" si="26"/>
        <v>Experienced</v>
      </c>
      <c r="I221" s="65" t="str">
        <f t="shared" si="27"/>
        <v>60000</v>
      </c>
      <c r="J221" s="43">
        <f t="shared" si="28"/>
        <v>18000</v>
      </c>
      <c r="K221" s="13" t="b">
        <f t="shared" si="29"/>
        <v>1</v>
      </c>
      <c r="L221" s="13" t="b">
        <f t="shared" si="30"/>
        <v>0</v>
      </c>
      <c r="M221" s="13" t="str">
        <f t="shared" si="31"/>
        <v>GET BONUS</v>
      </c>
      <c r="N221" s="13" t="str">
        <f t="shared" si="32"/>
        <v>NO BONUS</v>
      </c>
    </row>
    <row r="222" spans="1:14" x14ac:dyDescent="0.25">
      <c r="A222" s="13">
        <v>217</v>
      </c>
      <c r="B222" s="13">
        <v>39</v>
      </c>
      <c r="C222" s="13" t="str">
        <f t="shared" si="25"/>
        <v>Adult</v>
      </c>
      <c r="D222" s="13" t="s">
        <v>6</v>
      </c>
      <c r="E222" s="13" t="s">
        <v>12</v>
      </c>
      <c r="F222" s="13" t="s">
        <v>28</v>
      </c>
      <c r="G222" s="13">
        <v>12</v>
      </c>
      <c r="H222" s="13" t="str">
        <f t="shared" si="26"/>
        <v>Experienced</v>
      </c>
      <c r="I222" s="65" t="str">
        <f t="shared" si="27"/>
        <v>100000</v>
      </c>
      <c r="J222" s="43">
        <f t="shared" si="28"/>
        <v>30000</v>
      </c>
      <c r="K222" s="13" t="b">
        <f t="shared" si="29"/>
        <v>0</v>
      </c>
      <c r="L222" s="13" t="b">
        <f t="shared" si="30"/>
        <v>1</v>
      </c>
      <c r="M222" s="13" t="str">
        <f t="shared" si="31"/>
        <v>GET BONUS</v>
      </c>
      <c r="N222" s="13" t="str">
        <f t="shared" si="32"/>
        <v>NO BONUS</v>
      </c>
    </row>
    <row r="223" spans="1:14" x14ac:dyDescent="0.25">
      <c r="A223" s="13">
        <v>218</v>
      </c>
      <c r="B223" s="13">
        <v>39</v>
      </c>
      <c r="C223" s="13" t="str">
        <f t="shared" si="25"/>
        <v>Adult</v>
      </c>
      <c r="D223" s="13" t="s">
        <v>9</v>
      </c>
      <c r="E223" s="13" t="s">
        <v>7</v>
      </c>
      <c r="F223" s="13" t="s">
        <v>44</v>
      </c>
      <c r="G223" s="13">
        <v>10</v>
      </c>
      <c r="H223" s="13" t="str">
        <f t="shared" si="26"/>
        <v>Experienced</v>
      </c>
      <c r="I223" s="65" t="str">
        <f t="shared" si="27"/>
        <v>60000</v>
      </c>
      <c r="J223" s="43">
        <f t="shared" si="28"/>
        <v>18000</v>
      </c>
      <c r="K223" s="13" t="b">
        <f t="shared" si="29"/>
        <v>1</v>
      </c>
      <c r="L223" s="13" t="b">
        <f t="shared" si="30"/>
        <v>0</v>
      </c>
      <c r="M223" s="13" t="str">
        <f t="shared" si="31"/>
        <v>GET BONUS</v>
      </c>
      <c r="N223" s="13" t="str">
        <f t="shared" si="32"/>
        <v>NO BONUS</v>
      </c>
    </row>
    <row r="224" spans="1:14" x14ac:dyDescent="0.25">
      <c r="A224" s="13">
        <v>219</v>
      </c>
      <c r="B224" s="13">
        <v>39</v>
      </c>
      <c r="C224" s="13" t="str">
        <f t="shared" si="25"/>
        <v>Adult</v>
      </c>
      <c r="D224" s="13" t="s">
        <v>9</v>
      </c>
      <c r="E224" s="13" t="s">
        <v>7</v>
      </c>
      <c r="F224" s="13" t="s">
        <v>34</v>
      </c>
      <c r="G224" s="13">
        <v>11</v>
      </c>
      <c r="H224" s="13" t="str">
        <f t="shared" si="26"/>
        <v>Experienced</v>
      </c>
      <c r="I224" s="65" t="str">
        <f t="shared" si="27"/>
        <v>100000</v>
      </c>
      <c r="J224" s="43">
        <f t="shared" si="28"/>
        <v>30000</v>
      </c>
      <c r="K224" s="13" t="b">
        <f t="shared" si="29"/>
        <v>1</v>
      </c>
      <c r="L224" s="13" t="b">
        <f t="shared" si="30"/>
        <v>0</v>
      </c>
      <c r="M224" s="13" t="str">
        <f t="shared" si="31"/>
        <v>GET BONUS</v>
      </c>
      <c r="N224" s="13" t="str">
        <f t="shared" si="32"/>
        <v>NO BONUS</v>
      </c>
    </row>
    <row r="225" spans="1:14" x14ac:dyDescent="0.25">
      <c r="A225" s="13">
        <v>220</v>
      </c>
      <c r="B225" s="13">
        <v>39</v>
      </c>
      <c r="C225" s="13" t="str">
        <f t="shared" si="25"/>
        <v>Adult</v>
      </c>
      <c r="D225" s="13" t="s">
        <v>9</v>
      </c>
      <c r="E225" s="13" t="s">
        <v>7</v>
      </c>
      <c r="F225" s="13" t="s">
        <v>91</v>
      </c>
      <c r="G225" s="13">
        <v>12</v>
      </c>
      <c r="H225" s="13" t="str">
        <f t="shared" si="26"/>
        <v>Experienced</v>
      </c>
      <c r="I225" s="65" t="str">
        <f t="shared" si="27"/>
        <v>100000</v>
      </c>
      <c r="J225" s="43">
        <f t="shared" si="28"/>
        <v>30000</v>
      </c>
      <c r="K225" s="13" t="b">
        <f t="shared" si="29"/>
        <v>1</v>
      </c>
      <c r="L225" s="13" t="b">
        <f t="shared" si="30"/>
        <v>0</v>
      </c>
      <c r="M225" s="13" t="str">
        <f t="shared" si="31"/>
        <v>GET BONUS</v>
      </c>
      <c r="N225" s="13" t="str">
        <f t="shared" si="32"/>
        <v>NO BONUS</v>
      </c>
    </row>
    <row r="226" spans="1:14" x14ac:dyDescent="0.25">
      <c r="A226" s="13">
        <v>221</v>
      </c>
      <c r="B226" s="13">
        <v>39</v>
      </c>
      <c r="C226" s="13" t="str">
        <f t="shared" si="25"/>
        <v>Adult</v>
      </c>
      <c r="D226" s="13" t="s">
        <v>9</v>
      </c>
      <c r="E226" s="13" t="s">
        <v>10</v>
      </c>
      <c r="F226" s="13" t="s">
        <v>99</v>
      </c>
      <c r="G226" s="13">
        <v>13</v>
      </c>
      <c r="H226" s="13" t="str">
        <f t="shared" si="26"/>
        <v>Experienced</v>
      </c>
      <c r="I226" s="65" t="str">
        <f t="shared" si="27"/>
        <v>100000</v>
      </c>
      <c r="J226" s="43">
        <f t="shared" si="28"/>
        <v>30000</v>
      </c>
      <c r="K226" s="13" t="b">
        <f t="shared" si="29"/>
        <v>1</v>
      </c>
      <c r="L226" s="13" t="b">
        <f t="shared" si="30"/>
        <v>0</v>
      </c>
      <c r="M226" s="13" t="str">
        <f t="shared" si="31"/>
        <v>GET BONUS</v>
      </c>
      <c r="N226" s="13" t="str">
        <f t="shared" si="32"/>
        <v>GET BONUS</v>
      </c>
    </row>
    <row r="227" spans="1:14" x14ac:dyDescent="0.25">
      <c r="A227" s="13">
        <v>222</v>
      </c>
      <c r="B227" s="13">
        <v>39</v>
      </c>
      <c r="C227" s="13" t="str">
        <f t="shared" si="25"/>
        <v>Adult</v>
      </c>
      <c r="D227" s="13" t="s">
        <v>9</v>
      </c>
      <c r="E227" s="13" t="s">
        <v>7</v>
      </c>
      <c r="F227" s="13" t="s">
        <v>53</v>
      </c>
      <c r="G227" s="13">
        <v>10</v>
      </c>
      <c r="H227" s="13" t="str">
        <f t="shared" si="26"/>
        <v>Experienced</v>
      </c>
      <c r="I227" s="65" t="str">
        <f t="shared" si="27"/>
        <v>60000</v>
      </c>
      <c r="J227" s="43">
        <f t="shared" si="28"/>
        <v>18000</v>
      </c>
      <c r="K227" s="13" t="b">
        <f t="shared" si="29"/>
        <v>1</v>
      </c>
      <c r="L227" s="13" t="b">
        <f t="shared" si="30"/>
        <v>0</v>
      </c>
      <c r="M227" s="13" t="str">
        <f t="shared" si="31"/>
        <v>GET BONUS</v>
      </c>
      <c r="N227" s="13" t="str">
        <f t="shared" si="32"/>
        <v>NO BONUS</v>
      </c>
    </row>
    <row r="228" spans="1:14" x14ac:dyDescent="0.25">
      <c r="A228" s="13">
        <v>223</v>
      </c>
      <c r="B228" s="13">
        <v>39</v>
      </c>
      <c r="C228" s="13" t="str">
        <f t="shared" si="25"/>
        <v>Adult</v>
      </c>
      <c r="D228" s="13" t="s">
        <v>9</v>
      </c>
      <c r="E228" s="13" t="s">
        <v>7</v>
      </c>
      <c r="F228" s="13" t="s">
        <v>140</v>
      </c>
      <c r="G228" s="13">
        <v>12</v>
      </c>
      <c r="H228" s="13" t="str">
        <f t="shared" si="26"/>
        <v>Experienced</v>
      </c>
      <c r="I228" s="65" t="str">
        <f t="shared" si="27"/>
        <v>100000</v>
      </c>
      <c r="J228" s="43">
        <f t="shared" si="28"/>
        <v>30000</v>
      </c>
      <c r="K228" s="13" t="b">
        <f t="shared" si="29"/>
        <v>1</v>
      </c>
      <c r="L228" s="13" t="b">
        <f t="shared" si="30"/>
        <v>0</v>
      </c>
      <c r="M228" s="13" t="str">
        <f t="shared" si="31"/>
        <v>GET BONUS</v>
      </c>
      <c r="N228" s="13" t="str">
        <f t="shared" si="32"/>
        <v>NO BONUS</v>
      </c>
    </row>
    <row r="229" spans="1:14" x14ac:dyDescent="0.25">
      <c r="A229" s="13">
        <v>224</v>
      </c>
      <c r="B229" s="13">
        <v>39</v>
      </c>
      <c r="C229" s="13" t="str">
        <f t="shared" si="25"/>
        <v>Adult</v>
      </c>
      <c r="D229" s="13" t="s">
        <v>9</v>
      </c>
      <c r="E229" s="13" t="s">
        <v>7</v>
      </c>
      <c r="F229" s="13" t="s">
        <v>160</v>
      </c>
      <c r="G229" s="13">
        <v>12</v>
      </c>
      <c r="H229" s="13" t="str">
        <f t="shared" si="26"/>
        <v>Experienced</v>
      </c>
      <c r="I229" s="65" t="str">
        <f t="shared" si="27"/>
        <v>100000</v>
      </c>
      <c r="J229" s="43">
        <f t="shared" si="28"/>
        <v>30000</v>
      </c>
      <c r="K229" s="13" t="b">
        <f t="shared" si="29"/>
        <v>1</v>
      </c>
      <c r="L229" s="13" t="b">
        <f t="shared" si="30"/>
        <v>0</v>
      </c>
      <c r="M229" s="13" t="str">
        <f t="shared" si="31"/>
        <v>GET BONUS</v>
      </c>
      <c r="N229" s="13" t="str">
        <f t="shared" si="32"/>
        <v>NO BONUS</v>
      </c>
    </row>
    <row r="230" spans="1:14" x14ac:dyDescent="0.25">
      <c r="A230" s="13">
        <v>225</v>
      </c>
      <c r="B230" s="13">
        <v>39</v>
      </c>
      <c r="C230" s="13" t="str">
        <f t="shared" si="25"/>
        <v>Adult</v>
      </c>
      <c r="D230" s="13" t="s">
        <v>9</v>
      </c>
      <c r="E230" s="13" t="s">
        <v>7</v>
      </c>
      <c r="F230" s="13" t="s">
        <v>137</v>
      </c>
      <c r="G230" s="13">
        <v>10</v>
      </c>
      <c r="H230" s="13" t="str">
        <f t="shared" si="26"/>
        <v>Experienced</v>
      </c>
      <c r="I230" s="65" t="str">
        <f t="shared" si="27"/>
        <v>60000</v>
      </c>
      <c r="J230" s="43">
        <f t="shared" si="28"/>
        <v>18000</v>
      </c>
      <c r="K230" s="13" t="b">
        <f t="shared" si="29"/>
        <v>1</v>
      </c>
      <c r="L230" s="13" t="b">
        <f t="shared" si="30"/>
        <v>0</v>
      </c>
      <c r="M230" s="13" t="str">
        <f t="shared" si="31"/>
        <v>GET BONUS</v>
      </c>
      <c r="N230" s="13" t="str">
        <f t="shared" si="32"/>
        <v>NO BONUS</v>
      </c>
    </row>
    <row r="231" spans="1:14" x14ac:dyDescent="0.25">
      <c r="A231" s="13">
        <v>226</v>
      </c>
      <c r="B231" s="13">
        <v>39</v>
      </c>
      <c r="C231" s="13" t="str">
        <f t="shared" si="25"/>
        <v>Adult</v>
      </c>
      <c r="D231" s="13" t="s">
        <v>6</v>
      </c>
      <c r="E231" s="13" t="s">
        <v>7</v>
      </c>
      <c r="F231" s="13" t="s">
        <v>156</v>
      </c>
      <c r="G231" s="13">
        <v>10</v>
      </c>
      <c r="H231" s="13" t="str">
        <f t="shared" si="26"/>
        <v>Experienced</v>
      </c>
      <c r="I231" s="65" t="str">
        <f t="shared" si="27"/>
        <v>60000</v>
      </c>
      <c r="J231" s="43">
        <f t="shared" si="28"/>
        <v>18000</v>
      </c>
      <c r="K231" s="13" t="b">
        <f t="shared" si="29"/>
        <v>0</v>
      </c>
      <c r="L231" s="13" t="b">
        <f t="shared" si="30"/>
        <v>1</v>
      </c>
      <c r="M231" s="13" t="str">
        <f t="shared" si="31"/>
        <v>GET BONUS</v>
      </c>
      <c r="N231" s="13" t="str">
        <f t="shared" si="32"/>
        <v>NO BONUS</v>
      </c>
    </row>
    <row r="232" spans="1:14" x14ac:dyDescent="0.25">
      <c r="A232" s="13">
        <v>227</v>
      </c>
      <c r="B232" s="13">
        <v>39</v>
      </c>
      <c r="C232" s="13" t="str">
        <f t="shared" si="25"/>
        <v>Adult</v>
      </c>
      <c r="D232" s="13" t="s">
        <v>9</v>
      </c>
      <c r="E232" s="13" t="s">
        <v>7</v>
      </c>
      <c r="F232" s="13" t="s">
        <v>143</v>
      </c>
      <c r="G232" s="13">
        <v>9</v>
      </c>
      <c r="H232" s="13" t="str">
        <f t="shared" si="26"/>
        <v>Experienced</v>
      </c>
      <c r="I232" s="65" t="str">
        <f t="shared" si="27"/>
        <v>60000</v>
      </c>
      <c r="J232" s="43">
        <f t="shared" si="28"/>
        <v>18000</v>
      </c>
      <c r="K232" s="13" t="b">
        <f t="shared" si="29"/>
        <v>1</v>
      </c>
      <c r="L232" s="13" t="b">
        <f t="shared" si="30"/>
        <v>0</v>
      </c>
      <c r="M232" s="13" t="str">
        <f t="shared" si="31"/>
        <v>GET BONUS</v>
      </c>
      <c r="N232" s="13" t="str">
        <f t="shared" si="32"/>
        <v>NO BONUS</v>
      </c>
    </row>
    <row r="233" spans="1:14" x14ac:dyDescent="0.25">
      <c r="A233" s="13">
        <v>228</v>
      </c>
      <c r="B233" s="13">
        <v>39</v>
      </c>
      <c r="C233" s="13" t="str">
        <f t="shared" si="25"/>
        <v>Adult</v>
      </c>
      <c r="D233" s="13" t="s">
        <v>9</v>
      </c>
      <c r="E233" s="13" t="s">
        <v>7</v>
      </c>
      <c r="F233" s="13" t="s">
        <v>87</v>
      </c>
      <c r="G233" s="13">
        <v>12</v>
      </c>
      <c r="H233" s="13" t="str">
        <f t="shared" si="26"/>
        <v>Experienced</v>
      </c>
      <c r="I233" s="65" t="str">
        <f t="shared" si="27"/>
        <v>100000</v>
      </c>
      <c r="J233" s="43">
        <f t="shared" si="28"/>
        <v>30000</v>
      </c>
      <c r="K233" s="13" t="b">
        <f t="shared" si="29"/>
        <v>1</v>
      </c>
      <c r="L233" s="13" t="b">
        <f t="shared" si="30"/>
        <v>0</v>
      </c>
      <c r="M233" s="13" t="str">
        <f t="shared" si="31"/>
        <v>GET BONUS</v>
      </c>
      <c r="N233" s="13" t="str">
        <f t="shared" si="32"/>
        <v>NO BONUS</v>
      </c>
    </row>
    <row r="234" spans="1:14" x14ac:dyDescent="0.25">
      <c r="A234" s="13">
        <v>229</v>
      </c>
      <c r="B234" s="13">
        <v>40</v>
      </c>
      <c r="C234" s="13" t="str">
        <f t="shared" si="25"/>
        <v>Adult</v>
      </c>
      <c r="D234" s="13" t="s">
        <v>9</v>
      </c>
      <c r="E234" s="13" t="s">
        <v>10</v>
      </c>
      <c r="F234" s="13" t="s">
        <v>24</v>
      </c>
      <c r="G234" s="13">
        <v>14</v>
      </c>
      <c r="H234" s="13" t="str">
        <f t="shared" si="26"/>
        <v>Experienced</v>
      </c>
      <c r="I234" s="65" t="str">
        <f t="shared" si="27"/>
        <v>100000</v>
      </c>
      <c r="J234" s="43">
        <f t="shared" si="28"/>
        <v>30000</v>
      </c>
      <c r="K234" s="13" t="b">
        <f t="shared" si="29"/>
        <v>1</v>
      </c>
      <c r="L234" s="13" t="b">
        <f t="shared" si="30"/>
        <v>0</v>
      </c>
      <c r="M234" s="13" t="str">
        <f t="shared" si="31"/>
        <v>GET BONUS</v>
      </c>
      <c r="N234" s="13" t="str">
        <f t="shared" si="32"/>
        <v>GET BONUS</v>
      </c>
    </row>
    <row r="235" spans="1:14" x14ac:dyDescent="0.25">
      <c r="A235" s="13">
        <v>230</v>
      </c>
      <c r="B235" s="13">
        <v>40</v>
      </c>
      <c r="C235" s="13" t="str">
        <f t="shared" si="25"/>
        <v>Adult</v>
      </c>
      <c r="D235" s="13" t="s">
        <v>9</v>
      </c>
      <c r="E235" s="13" t="s">
        <v>7</v>
      </c>
      <c r="F235" s="13" t="s">
        <v>61</v>
      </c>
      <c r="G235" s="13">
        <v>12</v>
      </c>
      <c r="H235" s="13" t="str">
        <f t="shared" si="26"/>
        <v>Experienced</v>
      </c>
      <c r="I235" s="65" t="str">
        <f t="shared" si="27"/>
        <v>100000</v>
      </c>
      <c r="J235" s="43">
        <f t="shared" si="28"/>
        <v>30000</v>
      </c>
      <c r="K235" s="13" t="b">
        <f t="shared" si="29"/>
        <v>1</v>
      </c>
      <c r="L235" s="13" t="b">
        <f t="shared" si="30"/>
        <v>0</v>
      </c>
      <c r="M235" s="13" t="str">
        <f t="shared" si="31"/>
        <v>GET BONUS</v>
      </c>
      <c r="N235" s="13" t="str">
        <f t="shared" si="32"/>
        <v>NO BONUS</v>
      </c>
    </row>
    <row r="236" spans="1:14" x14ac:dyDescent="0.25">
      <c r="A236" s="13">
        <v>231</v>
      </c>
      <c r="B236" s="13">
        <v>40</v>
      </c>
      <c r="C236" s="13" t="str">
        <f t="shared" si="25"/>
        <v>Adult</v>
      </c>
      <c r="D236" s="13" t="s">
        <v>9</v>
      </c>
      <c r="E236" s="13" t="s">
        <v>7</v>
      </c>
      <c r="F236" s="13" t="s">
        <v>22</v>
      </c>
      <c r="G236" s="13">
        <v>12</v>
      </c>
      <c r="H236" s="13" t="str">
        <f t="shared" si="26"/>
        <v>Experienced</v>
      </c>
      <c r="I236" s="65" t="str">
        <f t="shared" si="27"/>
        <v>100000</v>
      </c>
      <c r="J236" s="43">
        <f t="shared" si="28"/>
        <v>30000</v>
      </c>
      <c r="K236" s="13" t="b">
        <f t="shared" si="29"/>
        <v>1</v>
      </c>
      <c r="L236" s="13" t="b">
        <f t="shared" si="30"/>
        <v>0</v>
      </c>
      <c r="M236" s="13" t="str">
        <f t="shared" si="31"/>
        <v>GET BONUS</v>
      </c>
      <c r="N236" s="13" t="str">
        <f t="shared" si="32"/>
        <v>NO BONUS</v>
      </c>
    </row>
    <row r="237" spans="1:14" x14ac:dyDescent="0.25">
      <c r="A237" s="13">
        <v>232</v>
      </c>
      <c r="B237" s="13">
        <v>40</v>
      </c>
      <c r="C237" s="13" t="str">
        <f t="shared" si="25"/>
        <v>Adult</v>
      </c>
      <c r="D237" s="13" t="s">
        <v>9</v>
      </c>
      <c r="E237" s="13" t="s">
        <v>7</v>
      </c>
      <c r="F237" s="13" t="s">
        <v>46</v>
      </c>
      <c r="G237" s="13">
        <v>15</v>
      </c>
      <c r="H237" s="13" t="str">
        <f t="shared" si="26"/>
        <v>Experienced</v>
      </c>
      <c r="I237" s="65" t="str">
        <f t="shared" si="27"/>
        <v>100000</v>
      </c>
      <c r="J237" s="43">
        <f t="shared" si="28"/>
        <v>30000</v>
      </c>
      <c r="K237" s="13" t="b">
        <f t="shared" si="29"/>
        <v>1</v>
      </c>
      <c r="L237" s="13" t="b">
        <f t="shared" si="30"/>
        <v>0</v>
      </c>
      <c r="M237" s="13" t="str">
        <f t="shared" si="31"/>
        <v>GET BONUS</v>
      </c>
      <c r="N237" s="13" t="str">
        <f t="shared" si="32"/>
        <v>NO BONUS</v>
      </c>
    </row>
    <row r="238" spans="1:14" x14ac:dyDescent="0.25">
      <c r="A238" s="13">
        <v>233</v>
      </c>
      <c r="B238" s="13">
        <v>40</v>
      </c>
      <c r="C238" s="13" t="str">
        <f t="shared" si="25"/>
        <v>Adult</v>
      </c>
      <c r="D238" s="13" t="s">
        <v>9</v>
      </c>
      <c r="E238" s="13" t="s">
        <v>7</v>
      </c>
      <c r="F238" s="13" t="s">
        <v>110</v>
      </c>
      <c r="G238" s="13">
        <v>15</v>
      </c>
      <c r="H238" s="13" t="str">
        <f t="shared" si="26"/>
        <v>Experienced</v>
      </c>
      <c r="I238" s="65" t="str">
        <f t="shared" si="27"/>
        <v>100000</v>
      </c>
      <c r="J238" s="43">
        <f t="shared" si="28"/>
        <v>30000</v>
      </c>
      <c r="K238" s="13" t="b">
        <f t="shared" si="29"/>
        <v>1</v>
      </c>
      <c r="L238" s="13" t="b">
        <f t="shared" si="30"/>
        <v>0</v>
      </c>
      <c r="M238" s="13" t="str">
        <f t="shared" si="31"/>
        <v>GET BONUS</v>
      </c>
      <c r="N238" s="13" t="str">
        <f t="shared" si="32"/>
        <v>NO BONUS</v>
      </c>
    </row>
    <row r="239" spans="1:14" x14ac:dyDescent="0.25">
      <c r="A239" s="13">
        <v>234</v>
      </c>
      <c r="B239" s="13">
        <v>40</v>
      </c>
      <c r="C239" s="13" t="str">
        <f t="shared" si="25"/>
        <v>Adult</v>
      </c>
      <c r="D239" s="13" t="s">
        <v>9</v>
      </c>
      <c r="E239" s="13" t="s">
        <v>10</v>
      </c>
      <c r="F239" s="13" t="s">
        <v>119</v>
      </c>
      <c r="G239" s="13">
        <v>12</v>
      </c>
      <c r="H239" s="13" t="str">
        <f t="shared" si="26"/>
        <v>Experienced</v>
      </c>
      <c r="I239" s="65" t="str">
        <f t="shared" si="27"/>
        <v>100000</v>
      </c>
      <c r="J239" s="43">
        <f t="shared" si="28"/>
        <v>30000</v>
      </c>
      <c r="K239" s="13" t="b">
        <f t="shared" si="29"/>
        <v>1</v>
      </c>
      <c r="L239" s="13" t="b">
        <f t="shared" si="30"/>
        <v>0</v>
      </c>
      <c r="M239" s="13" t="str">
        <f t="shared" si="31"/>
        <v>GET BONUS</v>
      </c>
      <c r="N239" s="13" t="str">
        <f t="shared" si="32"/>
        <v>GET BONUS</v>
      </c>
    </row>
    <row r="240" spans="1:14" x14ac:dyDescent="0.25">
      <c r="A240" s="13">
        <v>235</v>
      </c>
      <c r="B240" s="13">
        <v>40</v>
      </c>
      <c r="C240" s="13" t="str">
        <f t="shared" si="25"/>
        <v>Adult</v>
      </c>
      <c r="D240" s="13" t="s">
        <v>9</v>
      </c>
      <c r="E240" s="13" t="s">
        <v>7</v>
      </c>
      <c r="F240" s="13" t="s">
        <v>146</v>
      </c>
      <c r="G240" s="13">
        <v>14</v>
      </c>
      <c r="H240" s="13" t="str">
        <f t="shared" si="26"/>
        <v>Experienced</v>
      </c>
      <c r="I240" s="65" t="str">
        <f t="shared" si="27"/>
        <v>100000</v>
      </c>
      <c r="J240" s="43">
        <f t="shared" si="28"/>
        <v>30000</v>
      </c>
      <c r="K240" s="13" t="b">
        <f t="shared" si="29"/>
        <v>1</v>
      </c>
      <c r="L240" s="13" t="b">
        <f t="shared" si="30"/>
        <v>0</v>
      </c>
      <c r="M240" s="13" t="str">
        <f t="shared" si="31"/>
        <v>GET BONUS</v>
      </c>
      <c r="N240" s="13" t="str">
        <f t="shared" si="32"/>
        <v>NO BONUS</v>
      </c>
    </row>
    <row r="241" spans="1:14" x14ac:dyDescent="0.25">
      <c r="A241" s="13">
        <v>236</v>
      </c>
      <c r="B241" s="13">
        <v>40</v>
      </c>
      <c r="C241" s="13" t="str">
        <f t="shared" si="25"/>
        <v>Adult</v>
      </c>
      <c r="D241" s="13" t="s">
        <v>9</v>
      </c>
      <c r="E241" s="13" t="s">
        <v>10</v>
      </c>
      <c r="F241" s="13" t="s">
        <v>163</v>
      </c>
      <c r="G241" s="13">
        <v>13</v>
      </c>
      <c r="H241" s="13" t="str">
        <f t="shared" si="26"/>
        <v>Experienced</v>
      </c>
      <c r="I241" s="65" t="str">
        <f t="shared" si="27"/>
        <v>100000</v>
      </c>
      <c r="J241" s="43">
        <f t="shared" si="28"/>
        <v>30000</v>
      </c>
      <c r="K241" s="13" t="b">
        <f t="shared" si="29"/>
        <v>1</v>
      </c>
      <c r="L241" s="13" t="b">
        <f t="shared" si="30"/>
        <v>0</v>
      </c>
      <c r="M241" s="13" t="str">
        <f t="shared" si="31"/>
        <v>GET BONUS</v>
      </c>
      <c r="N241" s="13" t="str">
        <f t="shared" si="32"/>
        <v>GET BONUS</v>
      </c>
    </row>
    <row r="242" spans="1:14" x14ac:dyDescent="0.25">
      <c r="A242" s="13">
        <v>237</v>
      </c>
      <c r="B242" s="13">
        <v>40</v>
      </c>
      <c r="C242" s="13" t="str">
        <f t="shared" si="25"/>
        <v>Adult</v>
      </c>
      <c r="D242" s="13" t="s">
        <v>9</v>
      </c>
      <c r="E242" s="13" t="s">
        <v>7</v>
      </c>
      <c r="F242" s="13" t="s">
        <v>140</v>
      </c>
      <c r="G242" s="13">
        <v>12</v>
      </c>
      <c r="H242" s="13" t="str">
        <f t="shared" si="26"/>
        <v>Experienced</v>
      </c>
      <c r="I242" s="65" t="str">
        <f t="shared" si="27"/>
        <v>100000</v>
      </c>
      <c r="J242" s="43">
        <f t="shared" si="28"/>
        <v>30000</v>
      </c>
      <c r="K242" s="13" t="b">
        <f t="shared" si="29"/>
        <v>1</v>
      </c>
      <c r="L242" s="13" t="b">
        <f t="shared" si="30"/>
        <v>0</v>
      </c>
      <c r="M242" s="13" t="str">
        <f t="shared" si="31"/>
        <v>GET BONUS</v>
      </c>
      <c r="N242" s="13" t="str">
        <f t="shared" si="32"/>
        <v>NO BONUS</v>
      </c>
    </row>
    <row r="243" spans="1:14" x14ac:dyDescent="0.25">
      <c r="A243" s="13">
        <v>238</v>
      </c>
      <c r="B243" s="13">
        <v>40</v>
      </c>
      <c r="C243" s="13" t="str">
        <f t="shared" si="25"/>
        <v>Adult</v>
      </c>
      <c r="D243" s="13" t="s">
        <v>9</v>
      </c>
      <c r="E243" s="13" t="s">
        <v>7</v>
      </c>
      <c r="F243" s="13" t="s">
        <v>90</v>
      </c>
      <c r="G243" s="13">
        <v>11</v>
      </c>
      <c r="H243" s="13" t="str">
        <f t="shared" si="26"/>
        <v>Experienced</v>
      </c>
      <c r="I243" s="65" t="str">
        <f t="shared" si="27"/>
        <v>100000</v>
      </c>
      <c r="J243" s="43">
        <f t="shared" si="28"/>
        <v>30000</v>
      </c>
      <c r="K243" s="13" t="b">
        <f t="shared" si="29"/>
        <v>1</v>
      </c>
      <c r="L243" s="13" t="b">
        <f t="shared" si="30"/>
        <v>0</v>
      </c>
      <c r="M243" s="13" t="str">
        <f t="shared" si="31"/>
        <v>GET BONUS</v>
      </c>
      <c r="N243" s="13" t="str">
        <f t="shared" si="32"/>
        <v>NO BONUS</v>
      </c>
    </row>
    <row r="244" spans="1:14" x14ac:dyDescent="0.25">
      <c r="A244" s="13">
        <v>239</v>
      </c>
      <c r="B244" s="13">
        <v>40</v>
      </c>
      <c r="C244" s="13" t="str">
        <f t="shared" si="25"/>
        <v>Adult</v>
      </c>
      <c r="D244" s="13" t="s">
        <v>9</v>
      </c>
      <c r="E244" s="13" t="s">
        <v>7</v>
      </c>
      <c r="F244" s="13" t="s">
        <v>90</v>
      </c>
      <c r="G244" s="13">
        <v>12</v>
      </c>
      <c r="H244" s="13" t="str">
        <f t="shared" si="26"/>
        <v>Experienced</v>
      </c>
      <c r="I244" s="65" t="str">
        <f t="shared" si="27"/>
        <v>100000</v>
      </c>
      <c r="J244" s="43">
        <f t="shared" si="28"/>
        <v>30000</v>
      </c>
      <c r="K244" s="13" t="b">
        <f t="shared" si="29"/>
        <v>1</v>
      </c>
      <c r="L244" s="13" t="b">
        <f t="shared" si="30"/>
        <v>0</v>
      </c>
      <c r="M244" s="13" t="str">
        <f t="shared" si="31"/>
        <v>GET BONUS</v>
      </c>
      <c r="N244" s="13" t="str">
        <f t="shared" si="32"/>
        <v>NO BONUS</v>
      </c>
    </row>
    <row r="245" spans="1:14" x14ac:dyDescent="0.25">
      <c r="A245" s="13">
        <v>240</v>
      </c>
      <c r="B245" s="13">
        <v>40</v>
      </c>
      <c r="C245" s="13" t="str">
        <f t="shared" si="25"/>
        <v>Adult</v>
      </c>
      <c r="D245" s="13" t="s">
        <v>6</v>
      </c>
      <c r="E245" s="13" t="s">
        <v>7</v>
      </c>
      <c r="F245" s="13" t="s">
        <v>73</v>
      </c>
      <c r="G245" s="13">
        <v>12</v>
      </c>
      <c r="H245" s="13" t="str">
        <f t="shared" si="26"/>
        <v>Experienced</v>
      </c>
      <c r="I245" s="65" t="str">
        <f t="shared" si="27"/>
        <v>100000</v>
      </c>
      <c r="J245" s="43">
        <f t="shared" si="28"/>
        <v>30000</v>
      </c>
      <c r="K245" s="13" t="b">
        <f t="shared" si="29"/>
        <v>0</v>
      </c>
      <c r="L245" s="13" t="b">
        <f t="shared" si="30"/>
        <v>1</v>
      </c>
      <c r="M245" s="13" t="str">
        <f t="shared" si="31"/>
        <v>GET BONUS</v>
      </c>
      <c r="N245" s="13" t="str">
        <f t="shared" si="32"/>
        <v>NO BONUS</v>
      </c>
    </row>
    <row r="246" spans="1:14" x14ac:dyDescent="0.25">
      <c r="A246" s="13">
        <v>241</v>
      </c>
      <c r="B246" s="13">
        <v>40</v>
      </c>
      <c r="C246" s="13" t="str">
        <f t="shared" si="25"/>
        <v>Adult</v>
      </c>
      <c r="D246" s="13" t="s">
        <v>6</v>
      </c>
      <c r="E246" s="13" t="s">
        <v>7</v>
      </c>
      <c r="F246" s="13" t="s">
        <v>73</v>
      </c>
      <c r="G246" s="13">
        <v>12</v>
      </c>
      <c r="H246" s="13" t="str">
        <f t="shared" si="26"/>
        <v>Experienced</v>
      </c>
      <c r="I246" s="65" t="str">
        <f t="shared" si="27"/>
        <v>100000</v>
      </c>
      <c r="J246" s="43">
        <f t="shared" si="28"/>
        <v>30000</v>
      </c>
      <c r="K246" s="13" t="b">
        <f t="shared" si="29"/>
        <v>0</v>
      </c>
      <c r="L246" s="13" t="b">
        <f t="shared" si="30"/>
        <v>1</v>
      </c>
      <c r="M246" s="13" t="str">
        <f t="shared" si="31"/>
        <v>GET BONUS</v>
      </c>
      <c r="N246" s="13" t="str">
        <f t="shared" si="32"/>
        <v>NO BONUS</v>
      </c>
    </row>
    <row r="247" spans="1:14" x14ac:dyDescent="0.25">
      <c r="A247" s="13">
        <v>242</v>
      </c>
      <c r="B247" s="13">
        <v>41</v>
      </c>
      <c r="C247" s="13" t="str">
        <f t="shared" si="25"/>
        <v>Adult</v>
      </c>
      <c r="D247" s="13" t="s">
        <v>6</v>
      </c>
      <c r="E247" s="13" t="s">
        <v>10</v>
      </c>
      <c r="F247" s="13" t="s">
        <v>35</v>
      </c>
      <c r="G247" s="13">
        <v>13</v>
      </c>
      <c r="H247" s="13" t="str">
        <f t="shared" si="26"/>
        <v>Experienced</v>
      </c>
      <c r="I247" s="65" t="str">
        <f t="shared" si="27"/>
        <v>100000</v>
      </c>
      <c r="J247" s="43">
        <f t="shared" si="28"/>
        <v>30000</v>
      </c>
      <c r="K247" s="13" t="b">
        <f t="shared" si="29"/>
        <v>0</v>
      </c>
      <c r="L247" s="13" t="b">
        <f t="shared" si="30"/>
        <v>1</v>
      </c>
      <c r="M247" s="13" t="str">
        <f t="shared" si="31"/>
        <v>GET BONUS</v>
      </c>
      <c r="N247" s="13" t="str">
        <f t="shared" si="32"/>
        <v>NO BONUS</v>
      </c>
    </row>
    <row r="248" spans="1:14" x14ac:dyDescent="0.25">
      <c r="A248" s="13">
        <v>243</v>
      </c>
      <c r="B248" s="13">
        <v>41</v>
      </c>
      <c r="C248" s="13" t="str">
        <f t="shared" si="25"/>
        <v>Adult</v>
      </c>
      <c r="D248" s="13" t="s">
        <v>6</v>
      </c>
      <c r="E248" s="13" t="s">
        <v>10</v>
      </c>
      <c r="F248" s="13" t="s">
        <v>54</v>
      </c>
      <c r="G248" s="13">
        <v>13</v>
      </c>
      <c r="H248" s="13" t="str">
        <f t="shared" si="26"/>
        <v>Experienced</v>
      </c>
      <c r="I248" s="65" t="str">
        <f t="shared" si="27"/>
        <v>100000</v>
      </c>
      <c r="J248" s="43">
        <f t="shared" si="28"/>
        <v>30000</v>
      </c>
      <c r="K248" s="13" t="b">
        <f t="shared" si="29"/>
        <v>0</v>
      </c>
      <c r="L248" s="13" t="b">
        <f t="shared" si="30"/>
        <v>1</v>
      </c>
      <c r="M248" s="13" t="str">
        <f t="shared" si="31"/>
        <v>GET BONUS</v>
      </c>
      <c r="N248" s="13" t="str">
        <f t="shared" si="32"/>
        <v>NO BONUS</v>
      </c>
    </row>
    <row r="249" spans="1:14" x14ac:dyDescent="0.25">
      <c r="A249" s="13">
        <v>244</v>
      </c>
      <c r="B249" s="13">
        <v>41</v>
      </c>
      <c r="C249" s="13" t="str">
        <f t="shared" si="25"/>
        <v>Adult</v>
      </c>
      <c r="D249" s="13" t="s">
        <v>9</v>
      </c>
      <c r="E249" s="13" t="s">
        <v>10</v>
      </c>
      <c r="F249" s="13" t="s">
        <v>11</v>
      </c>
      <c r="G249" s="13">
        <v>13</v>
      </c>
      <c r="H249" s="13" t="str">
        <f t="shared" si="26"/>
        <v>Experienced</v>
      </c>
      <c r="I249" s="65" t="str">
        <f t="shared" si="27"/>
        <v>100000</v>
      </c>
      <c r="J249" s="43">
        <f t="shared" si="28"/>
        <v>30000</v>
      </c>
      <c r="K249" s="13" t="b">
        <f t="shared" si="29"/>
        <v>1</v>
      </c>
      <c r="L249" s="13" t="b">
        <f t="shared" si="30"/>
        <v>0</v>
      </c>
      <c r="M249" s="13" t="str">
        <f t="shared" si="31"/>
        <v>GET BONUS</v>
      </c>
      <c r="N249" s="13" t="str">
        <f t="shared" si="32"/>
        <v>GET BONUS</v>
      </c>
    </row>
    <row r="250" spans="1:14" x14ac:dyDescent="0.25">
      <c r="A250" s="13">
        <v>245</v>
      </c>
      <c r="B250" s="13">
        <v>41</v>
      </c>
      <c r="C250" s="13" t="str">
        <f t="shared" si="25"/>
        <v>Adult</v>
      </c>
      <c r="D250" s="13" t="s">
        <v>9</v>
      </c>
      <c r="E250" s="13" t="s">
        <v>10</v>
      </c>
      <c r="F250" s="13" t="s">
        <v>103</v>
      </c>
      <c r="G250" s="13">
        <v>14</v>
      </c>
      <c r="H250" s="13" t="str">
        <f t="shared" si="26"/>
        <v>Experienced</v>
      </c>
      <c r="I250" s="65" t="str">
        <f t="shared" si="27"/>
        <v>100000</v>
      </c>
      <c r="J250" s="43">
        <f t="shared" si="28"/>
        <v>30000</v>
      </c>
      <c r="K250" s="13" t="b">
        <f t="shared" si="29"/>
        <v>1</v>
      </c>
      <c r="L250" s="13" t="b">
        <f t="shared" si="30"/>
        <v>0</v>
      </c>
      <c r="M250" s="13" t="str">
        <f t="shared" si="31"/>
        <v>GET BONUS</v>
      </c>
      <c r="N250" s="13" t="str">
        <f t="shared" si="32"/>
        <v>GET BONUS</v>
      </c>
    </row>
    <row r="251" spans="1:14" x14ac:dyDescent="0.25">
      <c r="A251" s="13">
        <v>246</v>
      </c>
      <c r="B251" s="13">
        <v>41</v>
      </c>
      <c r="C251" s="13" t="str">
        <f t="shared" si="25"/>
        <v>Adult</v>
      </c>
      <c r="D251" s="13" t="s">
        <v>9</v>
      </c>
      <c r="E251" s="13" t="s">
        <v>10</v>
      </c>
      <c r="F251" s="13" t="s">
        <v>90</v>
      </c>
      <c r="G251" s="13">
        <v>13</v>
      </c>
      <c r="H251" s="13" t="str">
        <f t="shared" si="26"/>
        <v>Experienced</v>
      </c>
      <c r="I251" s="65" t="str">
        <f t="shared" si="27"/>
        <v>100000</v>
      </c>
      <c r="J251" s="43">
        <f t="shared" si="28"/>
        <v>30000</v>
      </c>
      <c r="K251" s="13" t="b">
        <f t="shared" si="29"/>
        <v>1</v>
      </c>
      <c r="L251" s="13" t="b">
        <f t="shared" si="30"/>
        <v>0</v>
      </c>
      <c r="M251" s="13" t="str">
        <f t="shared" si="31"/>
        <v>GET BONUS</v>
      </c>
      <c r="N251" s="13" t="str">
        <f t="shared" si="32"/>
        <v>GET BONUS</v>
      </c>
    </row>
    <row r="252" spans="1:14" x14ac:dyDescent="0.25">
      <c r="A252" s="13">
        <v>247</v>
      </c>
      <c r="B252" s="13">
        <v>41</v>
      </c>
      <c r="C252" s="13" t="str">
        <f t="shared" si="25"/>
        <v>Adult</v>
      </c>
      <c r="D252" s="13" t="s">
        <v>9</v>
      </c>
      <c r="E252" s="13" t="s">
        <v>10</v>
      </c>
      <c r="F252" s="13" t="s">
        <v>144</v>
      </c>
      <c r="G252" s="13">
        <v>13</v>
      </c>
      <c r="H252" s="13" t="str">
        <f t="shared" si="26"/>
        <v>Experienced</v>
      </c>
      <c r="I252" s="65" t="str">
        <f t="shared" si="27"/>
        <v>100000</v>
      </c>
      <c r="J252" s="43">
        <f t="shared" si="28"/>
        <v>30000</v>
      </c>
      <c r="K252" s="13" t="b">
        <f t="shared" si="29"/>
        <v>1</v>
      </c>
      <c r="L252" s="13" t="b">
        <f t="shared" si="30"/>
        <v>0</v>
      </c>
      <c r="M252" s="13" t="str">
        <f t="shared" si="31"/>
        <v>GET BONUS</v>
      </c>
      <c r="N252" s="13" t="str">
        <f t="shared" si="32"/>
        <v>GET BONUS</v>
      </c>
    </row>
    <row r="253" spans="1:14" x14ac:dyDescent="0.25">
      <c r="A253" s="13">
        <v>248</v>
      </c>
      <c r="B253" s="13">
        <v>41</v>
      </c>
      <c r="C253" s="13" t="str">
        <f t="shared" si="25"/>
        <v>Adult</v>
      </c>
      <c r="D253" s="13" t="s">
        <v>9</v>
      </c>
      <c r="E253" s="13" t="s">
        <v>7</v>
      </c>
      <c r="F253" s="13" t="s">
        <v>143</v>
      </c>
      <c r="G253" s="13">
        <v>11</v>
      </c>
      <c r="H253" s="13" t="str">
        <f t="shared" si="26"/>
        <v>Experienced</v>
      </c>
      <c r="I253" s="65" t="str">
        <f t="shared" si="27"/>
        <v>100000</v>
      </c>
      <c r="J253" s="43">
        <f t="shared" si="28"/>
        <v>30000</v>
      </c>
      <c r="K253" s="13" t="b">
        <f t="shared" si="29"/>
        <v>1</v>
      </c>
      <c r="L253" s="13" t="b">
        <f t="shared" si="30"/>
        <v>0</v>
      </c>
      <c r="M253" s="13" t="str">
        <f t="shared" si="31"/>
        <v>GET BONUS</v>
      </c>
      <c r="N253" s="13" t="str">
        <f t="shared" si="32"/>
        <v>NO BONUS</v>
      </c>
    </row>
    <row r="254" spans="1:14" x14ac:dyDescent="0.25">
      <c r="A254" s="13">
        <v>249</v>
      </c>
      <c r="B254" s="13">
        <v>41</v>
      </c>
      <c r="C254" s="13" t="str">
        <f t="shared" si="25"/>
        <v>Adult</v>
      </c>
      <c r="D254" s="13" t="s">
        <v>9</v>
      </c>
      <c r="E254" s="13" t="s">
        <v>12</v>
      </c>
      <c r="F254" s="13" t="s">
        <v>168</v>
      </c>
      <c r="G254" s="13">
        <v>17</v>
      </c>
      <c r="H254" s="13" t="str">
        <f t="shared" si="26"/>
        <v>Experienced</v>
      </c>
      <c r="I254" s="65" t="str">
        <f t="shared" si="27"/>
        <v>150000</v>
      </c>
      <c r="J254" s="43">
        <f t="shared" si="28"/>
        <v>45000</v>
      </c>
      <c r="K254" s="13" t="b">
        <f t="shared" si="29"/>
        <v>1</v>
      </c>
      <c r="L254" s="13" t="b">
        <f t="shared" si="30"/>
        <v>0</v>
      </c>
      <c r="M254" s="13" t="str">
        <f t="shared" si="31"/>
        <v>GET BONUS</v>
      </c>
      <c r="N254" s="13" t="str">
        <f t="shared" si="32"/>
        <v>NO BONUS</v>
      </c>
    </row>
    <row r="255" spans="1:14" x14ac:dyDescent="0.25">
      <c r="A255" s="13">
        <v>250</v>
      </c>
      <c r="B255" s="13">
        <v>41</v>
      </c>
      <c r="C255" s="13" t="str">
        <f t="shared" si="25"/>
        <v>Adult</v>
      </c>
      <c r="D255" s="13" t="s">
        <v>9</v>
      </c>
      <c r="E255" s="13" t="s">
        <v>7</v>
      </c>
      <c r="F255" s="13" t="s">
        <v>99</v>
      </c>
      <c r="G255" s="13">
        <v>11</v>
      </c>
      <c r="H255" s="13" t="str">
        <f t="shared" si="26"/>
        <v>Experienced</v>
      </c>
      <c r="I255" s="65" t="str">
        <f t="shared" si="27"/>
        <v>100000</v>
      </c>
      <c r="J255" s="43">
        <f t="shared" si="28"/>
        <v>30000</v>
      </c>
      <c r="K255" s="13" t="b">
        <f t="shared" si="29"/>
        <v>1</v>
      </c>
      <c r="L255" s="13" t="b">
        <f t="shared" si="30"/>
        <v>0</v>
      </c>
      <c r="M255" s="13" t="str">
        <f t="shared" si="31"/>
        <v>GET BONUS</v>
      </c>
      <c r="N255" s="13" t="str">
        <f t="shared" si="32"/>
        <v>NO BONUS</v>
      </c>
    </row>
    <row r="256" spans="1:14" x14ac:dyDescent="0.25">
      <c r="A256" s="13">
        <v>251</v>
      </c>
      <c r="B256" s="13">
        <v>41</v>
      </c>
      <c r="C256" s="13" t="str">
        <f t="shared" si="25"/>
        <v>Adult</v>
      </c>
      <c r="D256" s="13" t="s">
        <v>9</v>
      </c>
      <c r="E256" s="13" t="s">
        <v>7</v>
      </c>
      <c r="F256" s="13" t="s">
        <v>99</v>
      </c>
      <c r="G256" s="13">
        <v>11</v>
      </c>
      <c r="H256" s="13" t="str">
        <f t="shared" si="26"/>
        <v>Experienced</v>
      </c>
      <c r="I256" s="65" t="str">
        <f t="shared" si="27"/>
        <v>100000</v>
      </c>
      <c r="J256" s="43">
        <f t="shared" si="28"/>
        <v>30000</v>
      </c>
      <c r="K256" s="13" t="b">
        <f t="shared" si="29"/>
        <v>1</v>
      </c>
      <c r="L256" s="13" t="b">
        <f t="shared" si="30"/>
        <v>0</v>
      </c>
      <c r="M256" s="13" t="str">
        <f t="shared" si="31"/>
        <v>GET BONUS</v>
      </c>
      <c r="N256" s="13" t="str">
        <f t="shared" si="32"/>
        <v>NO BONUS</v>
      </c>
    </row>
    <row r="257" spans="1:14" x14ac:dyDescent="0.25">
      <c r="A257" s="13">
        <v>252</v>
      </c>
      <c r="B257" s="13">
        <v>41</v>
      </c>
      <c r="C257" s="13" t="str">
        <f t="shared" si="25"/>
        <v>Adult</v>
      </c>
      <c r="D257" s="13" t="s">
        <v>6</v>
      </c>
      <c r="E257" s="13" t="s">
        <v>7</v>
      </c>
      <c r="F257" s="13" t="s">
        <v>113</v>
      </c>
      <c r="G257" s="13">
        <v>14</v>
      </c>
      <c r="H257" s="13" t="str">
        <f t="shared" si="26"/>
        <v>Experienced</v>
      </c>
      <c r="I257" s="65" t="str">
        <f t="shared" si="27"/>
        <v>100000</v>
      </c>
      <c r="J257" s="43">
        <f t="shared" si="28"/>
        <v>30000</v>
      </c>
      <c r="K257" s="13" t="b">
        <f t="shared" si="29"/>
        <v>0</v>
      </c>
      <c r="L257" s="13" t="b">
        <f t="shared" si="30"/>
        <v>1</v>
      </c>
      <c r="M257" s="13" t="str">
        <f t="shared" si="31"/>
        <v>GET BONUS</v>
      </c>
      <c r="N257" s="13" t="str">
        <f t="shared" si="32"/>
        <v>NO BONUS</v>
      </c>
    </row>
    <row r="258" spans="1:14" x14ac:dyDescent="0.25">
      <c r="A258" s="13">
        <v>253</v>
      </c>
      <c r="B258" s="13">
        <v>41</v>
      </c>
      <c r="C258" s="13" t="str">
        <f t="shared" si="25"/>
        <v>Adult</v>
      </c>
      <c r="D258" s="13" t="s">
        <v>6</v>
      </c>
      <c r="E258" s="13" t="s">
        <v>7</v>
      </c>
      <c r="F258" s="13" t="s">
        <v>113</v>
      </c>
      <c r="G258" s="13">
        <v>14</v>
      </c>
      <c r="H258" s="13" t="str">
        <f t="shared" si="26"/>
        <v>Experienced</v>
      </c>
      <c r="I258" s="65" t="str">
        <f t="shared" si="27"/>
        <v>100000</v>
      </c>
      <c r="J258" s="43">
        <f t="shared" si="28"/>
        <v>30000</v>
      </c>
      <c r="K258" s="13" t="b">
        <f t="shared" si="29"/>
        <v>0</v>
      </c>
      <c r="L258" s="13" t="b">
        <f t="shared" si="30"/>
        <v>1</v>
      </c>
      <c r="M258" s="13" t="str">
        <f t="shared" si="31"/>
        <v>GET BONUS</v>
      </c>
      <c r="N258" s="13" t="str">
        <f t="shared" si="32"/>
        <v>NO BONUS</v>
      </c>
    </row>
    <row r="259" spans="1:14" x14ac:dyDescent="0.25">
      <c r="A259" s="13">
        <v>254</v>
      </c>
      <c r="B259" s="13">
        <v>42</v>
      </c>
      <c r="C259" s="13" t="str">
        <f t="shared" si="25"/>
        <v>Adult</v>
      </c>
      <c r="D259" s="13" t="s">
        <v>9</v>
      </c>
      <c r="E259" s="13" t="s">
        <v>10</v>
      </c>
      <c r="F259" s="13" t="s">
        <v>17</v>
      </c>
      <c r="G259" s="13">
        <v>12</v>
      </c>
      <c r="H259" s="13" t="str">
        <f t="shared" si="26"/>
        <v>Experienced</v>
      </c>
      <c r="I259" s="65" t="str">
        <f t="shared" si="27"/>
        <v>100000</v>
      </c>
      <c r="J259" s="43">
        <f t="shared" si="28"/>
        <v>30000</v>
      </c>
      <c r="K259" s="13" t="b">
        <f t="shared" si="29"/>
        <v>1</v>
      </c>
      <c r="L259" s="13" t="b">
        <f t="shared" si="30"/>
        <v>0</v>
      </c>
      <c r="M259" s="13" t="str">
        <f t="shared" si="31"/>
        <v>GET BONUS</v>
      </c>
      <c r="N259" s="13" t="str">
        <f t="shared" si="32"/>
        <v>GET BONUS</v>
      </c>
    </row>
    <row r="260" spans="1:14" x14ac:dyDescent="0.25">
      <c r="A260" s="13">
        <v>255</v>
      </c>
      <c r="B260" s="13">
        <v>42</v>
      </c>
      <c r="C260" s="13" t="str">
        <f t="shared" si="25"/>
        <v>Adult</v>
      </c>
      <c r="D260" s="13" t="s">
        <v>6</v>
      </c>
      <c r="E260" s="13" t="s">
        <v>10</v>
      </c>
      <c r="F260" s="13" t="s">
        <v>47</v>
      </c>
      <c r="G260" s="13">
        <v>14</v>
      </c>
      <c r="H260" s="13" t="str">
        <f t="shared" si="26"/>
        <v>Experienced</v>
      </c>
      <c r="I260" s="65" t="str">
        <f t="shared" si="27"/>
        <v>100000</v>
      </c>
      <c r="J260" s="43">
        <f t="shared" si="28"/>
        <v>30000</v>
      </c>
      <c r="K260" s="13" t="b">
        <f t="shared" si="29"/>
        <v>0</v>
      </c>
      <c r="L260" s="13" t="b">
        <f t="shared" si="30"/>
        <v>1</v>
      </c>
      <c r="M260" s="13" t="str">
        <f t="shared" si="31"/>
        <v>GET BONUS</v>
      </c>
      <c r="N260" s="13" t="str">
        <f t="shared" si="32"/>
        <v>NO BONUS</v>
      </c>
    </row>
    <row r="261" spans="1:14" x14ac:dyDescent="0.25">
      <c r="A261" s="13">
        <v>256</v>
      </c>
      <c r="B261" s="13">
        <v>42</v>
      </c>
      <c r="C261" s="13" t="str">
        <f t="shared" si="25"/>
        <v>Adult</v>
      </c>
      <c r="D261" s="13" t="s">
        <v>9</v>
      </c>
      <c r="E261" s="13" t="s">
        <v>10</v>
      </c>
      <c r="F261" s="13" t="s">
        <v>77</v>
      </c>
      <c r="G261" s="13">
        <v>14</v>
      </c>
      <c r="H261" s="13" t="str">
        <f t="shared" si="26"/>
        <v>Experienced</v>
      </c>
      <c r="I261" s="65" t="str">
        <f t="shared" si="27"/>
        <v>100000</v>
      </c>
      <c r="J261" s="43">
        <f t="shared" si="28"/>
        <v>30000</v>
      </c>
      <c r="K261" s="13" t="b">
        <f t="shared" si="29"/>
        <v>1</v>
      </c>
      <c r="L261" s="13" t="b">
        <f t="shared" si="30"/>
        <v>0</v>
      </c>
      <c r="M261" s="13" t="str">
        <f t="shared" si="31"/>
        <v>GET BONUS</v>
      </c>
      <c r="N261" s="13" t="str">
        <f t="shared" si="32"/>
        <v>GET BONUS</v>
      </c>
    </row>
    <row r="262" spans="1:14" x14ac:dyDescent="0.25">
      <c r="A262" s="13">
        <v>257</v>
      </c>
      <c r="B262" s="13">
        <v>42</v>
      </c>
      <c r="C262" s="13" t="str">
        <f t="shared" ref="C262:C325" si="33">IF(B262&gt;=50,"Senior",IF(B262&gt;=25,"Adult","Teenager"))</f>
        <v>Adult</v>
      </c>
      <c r="D262" s="13" t="s">
        <v>9</v>
      </c>
      <c r="E262" s="13" t="s">
        <v>10</v>
      </c>
      <c r="F262" s="13" t="s">
        <v>105</v>
      </c>
      <c r="G262" s="13">
        <v>15</v>
      </c>
      <c r="H262" s="13" t="str">
        <f t="shared" si="26"/>
        <v>Experienced</v>
      </c>
      <c r="I262" s="65" t="str">
        <f t="shared" si="27"/>
        <v>100000</v>
      </c>
      <c r="J262" s="43">
        <f t="shared" si="28"/>
        <v>30000</v>
      </c>
      <c r="K262" s="13" t="b">
        <f t="shared" si="29"/>
        <v>1</v>
      </c>
      <c r="L262" s="13" t="b">
        <f t="shared" si="30"/>
        <v>0</v>
      </c>
      <c r="M262" s="13" t="str">
        <f t="shared" si="31"/>
        <v>GET BONUS</v>
      </c>
      <c r="N262" s="13" t="str">
        <f t="shared" si="32"/>
        <v>GET BONUS</v>
      </c>
    </row>
    <row r="263" spans="1:14" x14ac:dyDescent="0.25">
      <c r="A263" s="13">
        <v>258</v>
      </c>
      <c r="B263" s="13">
        <v>42</v>
      </c>
      <c r="C263" s="13" t="str">
        <f t="shared" si="33"/>
        <v>Adult</v>
      </c>
      <c r="D263" s="13" t="s">
        <v>9</v>
      </c>
      <c r="E263" s="13" t="s">
        <v>7</v>
      </c>
      <c r="F263" s="13" t="s">
        <v>18</v>
      </c>
      <c r="G263" s="13">
        <v>17</v>
      </c>
      <c r="H263" s="13" t="str">
        <f t="shared" ref="H263:H326" si="34">IF(G263&gt;=4,"Experienced",IF(G263&lt;=3,"Fresher"))</f>
        <v>Experienced</v>
      </c>
      <c r="I263" s="65" t="str">
        <f t="shared" ref="I263:I326" si="35">IF(G263&lt;=1,"20000",IF(G263&lt;=3,"30000",IF(G263&lt;=10,"60000",IF(G263&lt;=15,"100000",IF(G263&lt;=20,"150000",IF(G263&lt;=25,"200000"))))))</f>
        <v>150000</v>
      </c>
      <c r="J263" s="43">
        <f t="shared" ref="J263:J326" si="36">IF(I263&gt;=100000,I263*30%,IF(I263&gt;=50000,I263*20%,IF(I263&lt;50000,I263*10%)))</f>
        <v>45000</v>
      </c>
      <c r="K263" s="13" t="b">
        <f t="shared" ref="K263:K326" si="37">OR(D263="Female",H263="Fresher")</f>
        <v>1</v>
      </c>
      <c r="L263" s="13" t="b">
        <f t="shared" ref="L263:L326" si="38">AND(C263="Adult",D263="Male",H263="Experienced")</f>
        <v>0</v>
      </c>
      <c r="M263" s="13" t="str">
        <f t="shared" ref="M263:M326" si="39">IF(OR(C263="Senior",H263="Experienced"),"GET BONUS","NO BONUS")</f>
        <v>GET BONUS</v>
      </c>
      <c r="N263" s="13" t="str">
        <f t="shared" ref="N263:N326" si="40">IF(AND(D263="Female",E263="Master's"),"GET BONUS","NO BONUS")</f>
        <v>NO BONUS</v>
      </c>
    </row>
    <row r="264" spans="1:14" x14ac:dyDescent="0.25">
      <c r="A264" s="13">
        <v>259</v>
      </c>
      <c r="B264" s="13">
        <v>42</v>
      </c>
      <c r="C264" s="13" t="str">
        <f t="shared" si="33"/>
        <v>Adult</v>
      </c>
      <c r="D264" s="13" t="s">
        <v>9</v>
      </c>
      <c r="E264" s="13" t="s">
        <v>12</v>
      </c>
      <c r="F264" s="13" t="s">
        <v>67</v>
      </c>
      <c r="G264" s="13">
        <v>16</v>
      </c>
      <c r="H264" s="13" t="str">
        <f t="shared" si="34"/>
        <v>Experienced</v>
      </c>
      <c r="I264" s="65" t="str">
        <f t="shared" si="35"/>
        <v>150000</v>
      </c>
      <c r="J264" s="43">
        <f t="shared" si="36"/>
        <v>45000</v>
      </c>
      <c r="K264" s="13" t="b">
        <f t="shared" si="37"/>
        <v>1</v>
      </c>
      <c r="L264" s="13" t="b">
        <f t="shared" si="38"/>
        <v>0</v>
      </c>
      <c r="M264" s="13" t="str">
        <f t="shared" si="39"/>
        <v>GET BONUS</v>
      </c>
      <c r="N264" s="13" t="str">
        <f t="shared" si="40"/>
        <v>NO BONUS</v>
      </c>
    </row>
    <row r="265" spans="1:14" x14ac:dyDescent="0.25">
      <c r="A265" s="13">
        <v>260</v>
      </c>
      <c r="B265" s="13">
        <v>42</v>
      </c>
      <c r="C265" s="13" t="str">
        <f t="shared" si="33"/>
        <v>Adult</v>
      </c>
      <c r="D265" s="13" t="s">
        <v>9</v>
      </c>
      <c r="E265" s="13" t="s">
        <v>12</v>
      </c>
      <c r="F265" s="13" t="s">
        <v>90</v>
      </c>
      <c r="G265" s="13">
        <v>18</v>
      </c>
      <c r="H265" s="13" t="str">
        <f t="shared" si="34"/>
        <v>Experienced</v>
      </c>
      <c r="I265" s="65" t="str">
        <f t="shared" si="35"/>
        <v>150000</v>
      </c>
      <c r="J265" s="43">
        <f t="shared" si="36"/>
        <v>45000</v>
      </c>
      <c r="K265" s="13" t="b">
        <f t="shared" si="37"/>
        <v>1</v>
      </c>
      <c r="L265" s="13" t="b">
        <f t="shared" si="38"/>
        <v>0</v>
      </c>
      <c r="M265" s="13" t="str">
        <f t="shared" si="39"/>
        <v>GET BONUS</v>
      </c>
      <c r="N265" s="13" t="str">
        <f t="shared" si="40"/>
        <v>NO BONUS</v>
      </c>
    </row>
    <row r="266" spans="1:14" x14ac:dyDescent="0.25">
      <c r="A266" s="13">
        <v>261</v>
      </c>
      <c r="B266" s="13">
        <v>42</v>
      </c>
      <c r="C266" s="13" t="str">
        <f t="shared" si="33"/>
        <v>Adult</v>
      </c>
      <c r="D266" s="13" t="s">
        <v>9</v>
      </c>
      <c r="E266" s="13" t="s">
        <v>10</v>
      </c>
      <c r="F266" s="13" t="s">
        <v>144</v>
      </c>
      <c r="G266" s="13">
        <v>13</v>
      </c>
      <c r="H266" s="13" t="str">
        <f t="shared" si="34"/>
        <v>Experienced</v>
      </c>
      <c r="I266" s="65" t="str">
        <f t="shared" si="35"/>
        <v>100000</v>
      </c>
      <c r="J266" s="43">
        <f t="shared" si="36"/>
        <v>30000</v>
      </c>
      <c r="K266" s="13" t="b">
        <f t="shared" si="37"/>
        <v>1</v>
      </c>
      <c r="L266" s="13" t="b">
        <f t="shared" si="38"/>
        <v>0</v>
      </c>
      <c r="M266" s="13" t="str">
        <f t="shared" si="39"/>
        <v>GET BONUS</v>
      </c>
      <c r="N266" s="13" t="str">
        <f t="shared" si="40"/>
        <v>GET BONUS</v>
      </c>
    </row>
    <row r="267" spans="1:14" x14ac:dyDescent="0.25">
      <c r="A267" s="13">
        <v>262</v>
      </c>
      <c r="B267" s="13">
        <v>42</v>
      </c>
      <c r="C267" s="13" t="str">
        <f t="shared" si="33"/>
        <v>Adult</v>
      </c>
      <c r="D267" s="13" t="s">
        <v>9</v>
      </c>
      <c r="E267" s="13" t="s">
        <v>12</v>
      </c>
      <c r="F267" s="13" t="s">
        <v>90</v>
      </c>
      <c r="G267" s="13">
        <v>13</v>
      </c>
      <c r="H267" s="13" t="str">
        <f t="shared" si="34"/>
        <v>Experienced</v>
      </c>
      <c r="I267" s="65" t="str">
        <f t="shared" si="35"/>
        <v>100000</v>
      </c>
      <c r="J267" s="43">
        <f t="shared" si="36"/>
        <v>30000</v>
      </c>
      <c r="K267" s="13" t="b">
        <f t="shared" si="37"/>
        <v>1</v>
      </c>
      <c r="L267" s="13" t="b">
        <f t="shared" si="38"/>
        <v>0</v>
      </c>
      <c r="M267" s="13" t="str">
        <f t="shared" si="39"/>
        <v>GET BONUS</v>
      </c>
      <c r="N267" s="13" t="str">
        <f t="shared" si="40"/>
        <v>NO BONUS</v>
      </c>
    </row>
    <row r="268" spans="1:14" x14ac:dyDescent="0.25">
      <c r="A268" s="13">
        <v>263</v>
      </c>
      <c r="B268" s="13">
        <v>42</v>
      </c>
      <c r="C268" s="13" t="str">
        <f t="shared" si="33"/>
        <v>Adult</v>
      </c>
      <c r="D268" s="13" t="s">
        <v>6</v>
      </c>
      <c r="E268" s="13" t="s">
        <v>7</v>
      </c>
      <c r="F268" s="13" t="s">
        <v>137</v>
      </c>
      <c r="G268" s="13">
        <v>12</v>
      </c>
      <c r="H268" s="13" t="str">
        <f t="shared" si="34"/>
        <v>Experienced</v>
      </c>
      <c r="I268" s="65" t="str">
        <f t="shared" si="35"/>
        <v>100000</v>
      </c>
      <c r="J268" s="43">
        <f t="shared" si="36"/>
        <v>30000</v>
      </c>
      <c r="K268" s="13" t="b">
        <f t="shared" si="37"/>
        <v>0</v>
      </c>
      <c r="L268" s="13" t="b">
        <f t="shared" si="38"/>
        <v>1</v>
      </c>
      <c r="M268" s="13" t="str">
        <f t="shared" si="39"/>
        <v>GET BONUS</v>
      </c>
      <c r="N268" s="13" t="str">
        <f t="shared" si="40"/>
        <v>NO BONUS</v>
      </c>
    </row>
    <row r="269" spans="1:14" x14ac:dyDescent="0.25">
      <c r="A269" s="13">
        <v>264</v>
      </c>
      <c r="B269" s="13">
        <v>42</v>
      </c>
      <c r="C269" s="13" t="str">
        <f t="shared" si="33"/>
        <v>Adult</v>
      </c>
      <c r="D269" s="13" t="s">
        <v>9</v>
      </c>
      <c r="E269" s="13" t="s">
        <v>7</v>
      </c>
      <c r="F269" s="13" t="s">
        <v>87</v>
      </c>
      <c r="G269" s="13">
        <v>12</v>
      </c>
      <c r="H269" s="13" t="str">
        <f t="shared" si="34"/>
        <v>Experienced</v>
      </c>
      <c r="I269" s="65" t="str">
        <f t="shared" si="35"/>
        <v>100000</v>
      </c>
      <c r="J269" s="43">
        <f t="shared" si="36"/>
        <v>30000</v>
      </c>
      <c r="K269" s="13" t="b">
        <f t="shared" si="37"/>
        <v>1</v>
      </c>
      <c r="L269" s="13" t="b">
        <f t="shared" si="38"/>
        <v>0</v>
      </c>
      <c r="M269" s="13" t="str">
        <f t="shared" si="39"/>
        <v>GET BONUS</v>
      </c>
      <c r="N269" s="13" t="str">
        <f t="shared" si="40"/>
        <v>NO BONUS</v>
      </c>
    </row>
    <row r="270" spans="1:14" x14ac:dyDescent="0.25">
      <c r="A270" s="13">
        <v>265</v>
      </c>
      <c r="B270" s="13">
        <v>43</v>
      </c>
      <c r="C270" s="13" t="str">
        <f t="shared" si="33"/>
        <v>Adult</v>
      </c>
      <c r="D270" s="13" t="s">
        <v>9</v>
      </c>
      <c r="E270" s="13" t="s">
        <v>12</v>
      </c>
      <c r="F270" s="13" t="s">
        <v>39</v>
      </c>
      <c r="G270" s="13">
        <v>15</v>
      </c>
      <c r="H270" s="13" t="str">
        <f t="shared" si="34"/>
        <v>Experienced</v>
      </c>
      <c r="I270" s="65" t="str">
        <f t="shared" si="35"/>
        <v>100000</v>
      </c>
      <c r="J270" s="43">
        <f t="shared" si="36"/>
        <v>30000</v>
      </c>
      <c r="K270" s="13" t="b">
        <f t="shared" si="37"/>
        <v>1</v>
      </c>
      <c r="L270" s="13" t="b">
        <f t="shared" si="38"/>
        <v>0</v>
      </c>
      <c r="M270" s="13" t="str">
        <f t="shared" si="39"/>
        <v>GET BONUS</v>
      </c>
      <c r="N270" s="13" t="str">
        <f t="shared" si="40"/>
        <v>NO BONUS</v>
      </c>
    </row>
    <row r="271" spans="1:14" x14ac:dyDescent="0.25">
      <c r="A271" s="13">
        <v>266</v>
      </c>
      <c r="B271" s="13">
        <v>43</v>
      </c>
      <c r="C271" s="13" t="str">
        <f t="shared" si="33"/>
        <v>Adult</v>
      </c>
      <c r="D271" s="13" t="s">
        <v>6</v>
      </c>
      <c r="E271" s="13" t="s">
        <v>12</v>
      </c>
      <c r="F271" s="13" t="s">
        <v>28</v>
      </c>
      <c r="G271" s="13">
        <v>17</v>
      </c>
      <c r="H271" s="13" t="str">
        <f t="shared" si="34"/>
        <v>Experienced</v>
      </c>
      <c r="I271" s="65" t="str">
        <f t="shared" si="35"/>
        <v>150000</v>
      </c>
      <c r="J271" s="43">
        <f t="shared" si="36"/>
        <v>45000</v>
      </c>
      <c r="K271" s="13" t="b">
        <f t="shared" si="37"/>
        <v>0</v>
      </c>
      <c r="L271" s="13" t="b">
        <f t="shared" si="38"/>
        <v>1</v>
      </c>
      <c r="M271" s="13" t="str">
        <f t="shared" si="39"/>
        <v>GET BONUS</v>
      </c>
      <c r="N271" s="13" t="str">
        <f t="shared" si="40"/>
        <v>NO BONUS</v>
      </c>
    </row>
    <row r="272" spans="1:14" x14ac:dyDescent="0.25">
      <c r="A272" s="13">
        <v>267</v>
      </c>
      <c r="B272" s="13">
        <v>43</v>
      </c>
      <c r="C272" s="13" t="str">
        <f t="shared" si="33"/>
        <v>Adult</v>
      </c>
      <c r="D272" s="13" t="s">
        <v>6</v>
      </c>
      <c r="E272" s="13" t="s">
        <v>7</v>
      </c>
      <c r="F272" s="13" t="s">
        <v>89</v>
      </c>
      <c r="G272" s="13">
        <v>18</v>
      </c>
      <c r="H272" s="13" t="str">
        <f t="shared" si="34"/>
        <v>Experienced</v>
      </c>
      <c r="I272" s="65" t="str">
        <f t="shared" si="35"/>
        <v>150000</v>
      </c>
      <c r="J272" s="43">
        <f t="shared" si="36"/>
        <v>45000</v>
      </c>
      <c r="K272" s="13" t="b">
        <f t="shared" si="37"/>
        <v>0</v>
      </c>
      <c r="L272" s="13" t="b">
        <f t="shared" si="38"/>
        <v>1</v>
      </c>
      <c r="M272" s="13" t="str">
        <f t="shared" si="39"/>
        <v>GET BONUS</v>
      </c>
      <c r="N272" s="13" t="str">
        <f t="shared" si="40"/>
        <v>NO BONUS</v>
      </c>
    </row>
    <row r="273" spans="1:14" x14ac:dyDescent="0.25">
      <c r="A273" s="13">
        <v>268</v>
      </c>
      <c r="B273" s="13">
        <v>43</v>
      </c>
      <c r="C273" s="13" t="str">
        <f t="shared" si="33"/>
        <v>Adult</v>
      </c>
      <c r="D273" s="13" t="s">
        <v>9</v>
      </c>
      <c r="E273" s="13" t="s">
        <v>10</v>
      </c>
      <c r="F273" s="13" t="s">
        <v>124</v>
      </c>
      <c r="G273" s="13">
        <v>14</v>
      </c>
      <c r="H273" s="13" t="str">
        <f t="shared" si="34"/>
        <v>Experienced</v>
      </c>
      <c r="I273" s="65" t="str">
        <f t="shared" si="35"/>
        <v>100000</v>
      </c>
      <c r="J273" s="43">
        <f t="shared" si="36"/>
        <v>30000</v>
      </c>
      <c r="K273" s="13" t="b">
        <f t="shared" si="37"/>
        <v>1</v>
      </c>
      <c r="L273" s="13" t="b">
        <f t="shared" si="38"/>
        <v>0</v>
      </c>
      <c r="M273" s="13" t="str">
        <f t="shared" si="39"/>
        <v>GET BONUS</v>
      </c>
      <c r="N273" s="13" t="str">
        <f t="shared" si="40"/>
        <v>GET BONUS</v>
      </c>
    </row>
    <row r="274" spans="1:14" x14ac:dyDescent="0.25">
      <c r="A274" s="13">
        <v>269</v>
      </c>
      <c r="B274" s="13">
        <v>43</v>
      </c>
      <c r="C274" s="13" t="str">
        <f t="shared" si="33"/>
        <v>Adult</v>
      </c>
      <c r="D274" s="13" t="s">
        <v>9</v>
      </c>
      <c r="E274" s="13" t="s">
        <v>12</v>
      </c>
      <c r="F274" s="13" t="s">
        <v>133</v>
      </c>
      <c r="G274" s="13">
        <v>18</v>
      </c>
      <c r="H274" s="13" t="str">
        <f t="shared" si="34"/>
        <v>Experienced</v>
      </c>
      <c r="I274" s="65" t="str">
        <f t="shared" si="35"/>
        <v>150000</v>
      </c>
      <c r="J274" s="43">
        <f t="shared" si="36"/>
        <v>45000</v>
      </c>
      <c r="K274" s="13" t="b">
        <f t="shared" si="37"/>
        <v>1</v>
      </c>
      <c r="L274" s="13" t="b">
        <f t="shared" si="38"/>
        <v>0</v>
      </c>
      <c r="M274" s="13" t="str">
        <f t="shared" si="39"/>
        <v>GET BONUS</v>
      </c>
      <c r="N274" s="13" t="str">
        <f t="shared" si="40"/>
        <v>NO BONUS</v>
      </c>
    </row>
    <row r="275" spans="1:14" x14ac:dyDescent="0.25">
      <c r="A275" s="13">
        <v>270</v>
      </c>
      <c r="B275" s="13">
        <v>43</v>
      </c>
      <c r="C275" s="13" t="str">
        <f t="shared" si="33"/>
        <v>Adult</v>
      </c>
      <c r="D275" s="13" t="s">
        <v>6</v>
      </c>
      <c r="E275" s="13" t="s">
        <v>7</v>
      </c>
      <c r="F275" s="13" t="s">
        <v>87</v>
      </c>
      <c r="G275" s="13">
        <v>16</v>
      </c>
      <c r="H275" s="13" t="str">
        <f t="shared" si="34"/>
        <v>Experienced</v>
      </c>
      <c r="I275" s="65" t="str">
        <f t="shared" si="35"/>
        <v>150000</v>
      </c>
      <c r="J275" s="43">
        <f t="shared" si="36"/>
        <v>45000</v>
      </c>
      <c r="K275" s="13" t="b">
        <f t="shared" si="37"/>
        <v>0</v>
      </c>
      <c r="L275" s="13" t="b">
        <f t="shared" si="38"/>
        <v>1</v>
      </c>
      <c r="M275" s="13" t="str">
        <f t="shared" si="39"/>
        <v>GET BONUS</v>
      </c>
      <c r="N275" s="13" t="str">
        <f t="shared" si="40"/>
        <v>NO BONUS</v>
      </c>
    </row>
    <row r="276" spans="1:14" x14ac:dyDescent="0.25">
      <c r="A276" s="13">
        <v>271</v>
      </c>
      <c r="B276" s="13">
        <v>43</v>
      </c>
      <c r="C276" s="13" t="str">
        <f t="shared" si="33"/>
        <v>Adult</v>
      </c>
      <c r="D276" s="13" t="s">
        <v>6</v>
      </c>
      <c r="E276" s="13" t="s">
        <v>7</v>
      </c>
      <c r="F276" s="13" t="s">
        <v>157</v>
      </c>
      <c r="G276" s="13">
        <v>14</v>
      </c>
      <c r="H276" s="13" t="str">
        <f t="shared" si="34"/>
        <v>Experienced</v>
      </c>
      <c r="I276" s="65" t="str">
        <f t="shared" si="35"/>
        <v>100000</v>
      </c>
      <c r="J276" s="43">
        <f t="shared" si="36"/>
        <v>30000</v>
      </c>
      <c r="K276" s="13" t="b">
        <f t="shared" si="37"/>
        <v>0</v>
      </c>
      <c r="L276" s="13" t="b">
        <f t="shared" si="38"/>
        <v>1</v>
      </c>
      <c r="M276" s="13" t="str">
        <f t="shared" si="39"/>
        <v>GET BONUS</v>
      </c>
      <c r="N276" s="13" t="str">
        <f t="shared" si="40"/>
        <v>NO BONUS</v>
      </c>
    </row>
    <row r="277" spans="1:14" x14ac:dyDescent="0.25">
      <c r="A277" s="13">
        <v>272</v>
      </c>
      <c r="B277" s="13">
        <v>43</v>
      </c>
      <c r="C277" s="13" t="str">
        <f t="shared" si="33"/>
        <v>Adult</v>
      </c>
      <c r="D277" s="13" t="s">
        <v>6</v>
      </c>
      <c r="E277" s="13" t="s">
        <v>7</v>
      </c>
      <c r="F277" s="13" t="s">
        <v>87</v>
      </c>
      <c r="G277" s="13">
        <v>15</v>
      </c>
      <c r="H277" s="13" t="str">
        <f t="shared" si="34"/>
        <v>Experienced</v>
      </c>
      <c r="I277" s="65" t="str">
        <f t="shared" si="35"/>
        <v>100000</v>
      </c>
      <c r="J277" s="43">
        <f t="shared" si="36"/>
        <v>30000</v>
      </c>
      <c r="K277" s="13" t="b">
        <f t="shared" si="37"/>
        <v>0</v>
      </c>
      <c r="L277" s="13" t="b">
        <f t="shared" si="38"/>
        <v>1</v>
      </c>
      <c r="M277" s="13" t="str">
        <f t="shared" si="39"/>
        <v>GET BONUS</v>
      </c>
      <c r="N277" s="13" t="str">
        <f t="shared" si="40"/>
        <v>NO BONUS</v>
      </c>
    </row>
    <row r="278" spans="1:14" x14ac:dyDescent="0.25">
      <c r="A278" s="13">
        <v>273</v>
      </c>
      <c r="B278" s="13">
        <v>43</v>
      </c>
      <c r="C278" s="13" t="str">
        <f t="shared" si="33"/>
        <v>Adult</v>
      </c>
      <c r="D278" s="13" t="s">
        <v>9</v>
      </c>
      <c r="E278" s="13" t="s">
        <v>12</v>
      </c>
      <c r="F278" s="13" t="s">
        <v>67</v>
      </c>
      <c r="G278" s="13">
        <v>15</v>
      </c>
      <c r="H278" s="13" t="str">
        <f t="shared" si="34"/>
        <v>Experienced</v>
      </c>
      <c r="I278" s="65" t="str">
        <f t="shared" si="35"/>
        <v>100000</v>
      </c>
      <c r="J278" s="43">
        <f t="shared" si="36"/>
        <v>30000</v>
      </c>
      <c r="K278" s="13" t="b">
        <f t="shared" si="37"/>
        <v>1</v>
      </c>
      <c r="L278" s="13" t="b">
        <f t="shared" si="38"/>
        <v>0</v>
      </c>
      <c r="M278" s="13" t="str">
        <f t="shared" si="39"/>
        <v>GET BONUS</v>
      </c>
      <c r="N278" s="13" t="str">
        <f t="shared" si="40"/>
        <v>NO BONUS</v>
      </c>
    </row>
    <row r="279" spans="1:14" x14ac:dyDescent="0.25">
      <c r="A279" s="13">
        <v>274</v>
      </c>
      <c r="B279" s="13">
        <v>43</v>
      </c>
      <c r="C279" s="13" t="str">
        <f t="shared" si="33"/>
        <v>Adult</v>
      </c>
      <c r="D279" s="13" t="s">
        <v>6</v>
      </c>
      <c r="E279" s="13" t="s">
        <v>10</v>
      </c>
      <c r="F279" s="13" t="s">
        <v>57</v>
      </c>
      <c r="G279" s="13">
        <v>18</v>
      </c>
      <c r="H279" s="13" t="str">
        <f t="shared" si="34"/>
        <v>Experienced</v>
      </c>
      <c r="I279" s="65" t="str">
        <f t="shared" si="35"/>
        <v>150000</v>
      </c>
      <c r="J279" s="43">
        <f t="shared" si="36"/>
        <v>45000</v>
      </c>
      <c r="K279" s="13" t="b">
        <f t="shared" si="37"/>
        <v>0</v>
      </c>
      <c r="L279" s="13" t="b">
        <f t="shared" si="38"/>
        <v>1</v>
      </c>
      <c r="M279" s="13" t="str">
        <f t="shared" si="39"/>
        <v>GET BONUS</v>
      </c>
      <c r="N279" s="13" t="str">
        <f t="shared" si="40"/>
        <v>NO BONUS</v>
      </c>
    </row>
    <row r="280" spans="1:14" x14ac:dyDescent="0.25">
      <c r="A280" s="13">
        <v>275</v>
      </c>
      <c r="B280" s="13">
        <v>43</v>
      </c>
      <c r="C280" s="13" t="str">
        <f t="shared" si="33"/>
        <v>Adult</v>
      </c>
      <c r="D280" s="13" t="s">
        <v>6</v>
      </c>
      <c r="E280" s="13" t="s">
        <v>10</v>
      </c>
      <c r="F280" s="13" t="s">
        <v>57</v>
      </c>
      <c r="G280" s="13">
        <v>18</v>
      </c>
      <c r="H280" s="13" t="str">
        <f t="shared" si="34"/>
        <v>Experienced</v>
      </c>
      <c r="I280" s="65" t="str">
        <f t="shared" si="35"/>
        <v>150000</v>
      </c>
      <c r="J280" s="43">
        <f t="shared" si="36"/>
        <v>45000</v>
      </c>
      <c r="K280" s="13" t="b">
        <f t="shared" si="37"/>
        <v>0</v>
      </c>
      <c r="L280" s="13" t="b">
        <f t="shared" si="38"/>
        <v>1</v>
      </c>
      <c r="M280" s="13" t="str">
        <f t="shared" si="39"/>
        <v>GET BONUS</v>
      </c>
      <c r="N280" s="13" t="str">
        <f t="shared" si="40"/>
        <v>NO BONUS</v>
      </c>
    </row>
    <row r="281" spans="1:14" x14ac:dyDescent="0.25">
      <c r="A281" s="13">
        <v>276</v>
      </c>
      <c r="B281" s="13">
        <v>43</v>
      </c>
      <c r="C281" s="13" t="str">
        <f t="shared" si="33"/>
        <v>Adult</v>
      </c>
      <c r="D281" s="13" t="s">
        <v>6</v>
      </c>
      <c r="E281" s="13" t="s">
        <v>10</v>
      </c>
      <c r="F281" s="13" t="s">
        <v>66</v>
      </c>
      <c r="G281" s="13">
        <v>19</v>
      </c>
      <c r="H281" s="13" t="str">
        <f t="shared" si="34"/>
        <v>Experienced</v>
      </c>
      <c r="I281" s="65" t="str">
        <f t="shared" si="35"/>
        <v>150000</v>
      </c>
      <c r="J281" s="43">
        <f t="shared" si="36"/>
        <v>45000</v>
      </c>
      <c r="K281" s="13" t="b">
        <f t="shared" si="37"/>
        <v>0</v>
      </c>
      <c r="L281" s="13" t="b">
        <f t="shared" si="38"/>
        <v>1</v>
      </c>
      <c r="M281" s="13" t="str">
        <f t="shared" si="39"/>
        <v>GET BONUS</v>
      </c>
      <c r="N281" s="13" t="str">
        <f t="shared" si="40"/>
        <v>NO BONUS</v>
      </c>
    </row>
    <row r="282" spans="1:14" x14ac:dyDescent="0.25">
      <c r="A282" s="13">
        <v>277</v>
      </c>
      <c r="B282" s="13">
        <v>44</v>
      </c>
      <c r="C282" s="13" t="str">
        <f t="shared" si="33"/>
        <v>Adult</v>
      </c>
      <c r="D282" s="13" t="s">
        <v>6</v>
      </c>
      <c r="E282" s="13" t="s">
        <v>7</v>
      </c>
      <c r="F282" s="13" t="s">
        <v>26</v>
      </c>
      <c r="G282" s="13">
        <v>16</v>
      </c>
      <c r="H282" s="13" t="str">
        <f t="shared" si="34"/>
        <v>Experienced</v>
      </c>
      <c r="I282" s="65" t="str">
        <f t="shared" si="35"/>
        <v>150000</v>
      </c>
      <c r="J282" s="43">
        <f t="shared" si="36"/>
        <v>45000</v>
      </c>
      <c r="K282" s="13" t="b">
        <f t="shared" si="37"/>
        <v>0</v>
      </c>
      <c r="L282" s="13" t="b">
        <f t="shared" si="38"/>
        <v>1</v>
      </c>
      <c r="M282" s="13" t="str">
        <f t="shared" si="39"/>
        <v>GET BONUS</v>
      </c>
      <c r="N282" s="13" t="str">
        <f t="shared" si="40"/>
        <v>NO BONUS</v>
      </c>
    </row>
    <row r="283" spans="1:14" x14ac:dyDescent="0.25">
      <c r="A283" s="13">
        <v>278</v>
      </c>
      <c r="B283" s="13">
        <v>44</v>
      </c>
      <c r="C283" s="13" t="str">
        <f t="shared" si="33"/>
        <v>Adult</v>
      </c>
      <c r="D283" s="13" t="s">
        <v>6</v>
      </c>
      <c r="E283" s="13" t="s">
        <v>12</v>
      </c>
      <c r="F283" s="13" t="s">
        <v>100</v>
      </c>
      <c r="G283" s="13">
        <v>16</v>
      </c>
      <c r="H283" s="13" t="str">
        <f t="shared" si="34"/>
        <v>Experienced</v>
      </c>
      <c r="I283" s="65" t="str">
        <f t="shared" si="35"/>
        <v>150000</v>
      </c>
      <c r="J283" s="43">
        <f t="shared" si="36"/>
        <v>45000</v>
      </c>
      <c r="K283" s="13" t="b">
        <f t="shared" si="37"/>
        <v>0</v>
      </c>
      <c r="L283" s="13" t="b">
        <f t="shared" si="38"/>
        <v>1</v>
      </c>
      <c r="M283" s="13" t="str">
        <f t="shared" si="39"/>
        <v>GET BONUS</v>
      </c>
      <c r="N283" s="13" t="str">
        <f t="shared" si="40"/>
        <v>NO BONUS</v>
      </c>
    </row>
    <row r="284" spans="1:14" x14ac:dyDescent="0.25">
      <c r="A284" s="13">
        <v>279</v>
      </c>
      <c r="B284" s="13">
        <v>44</v>
      </c>
      <c r="C284" s="13" t="str">
        <f t="shared" si="33"/>
        <v>Adult</v>
      </c>
      <c r="D284" s="13" t="s">
        <v>9</v>
      </c>
      <c r="E284" s="13" t="s">
        <v>12</v>
      </c>
      <c r="F284" s="13" t="s">
        <v>20</v>
      </c>
      <c r="G284" s="13">
        <v>16</v>
      </c>
      <c r="H284" s="13" t="str">
        <f t="shared" si="34"/>
        <v>Experienced</v>
      </c>
      <c r="I284" s="65" t="str">
        <f t="shared" si="35"/>
        <v>150000</v>
      </c>
      <c r="J284" s="43">
        <f t="shared" si="36"/>
        <v>45000</v>
      </c>
      <c r="K284" s="13" t="b">
        <f t="shared" si="37"/>
        <v>1</v>
      </c>
      <c r="L284" s="13" t="b">
        <f t="shared" si="38"/>
        <v>0</v>
      </c>
      <c r="M284" s="13" t="str">
        <f t="shared" si="39"/>
        <v>GET BONUS</v>
      </c>
      <c r="N284" s="13" t="str">
        <f t="shared" si="40"/>
        <v>NO BONUS</v>
      </c>
    </row>
    <row r="285" spans="1:14" x14ac:dyDescent="0.25">
      <c r="A285" s="13">
        <v>280</v>
      </c>
      <c r="B285" s="13">
        <v>44</v>
      </c>
      <c r="C285" s="13" t="str">
        <f t="shared" si="33"/>
        <v>Adult</v>
      </c>
      <c r="D285" s="13" t="s">
        <v>6</v>
      </c>
      <c r="E285" s="13" t="s">
        <v>7</v>
      </c>
      <c r="F285" s="13" t="s">
        <v>135</v>
      </c>
      <c r="G285" s="13">
        <v>14</v>
      </c>
      <c r="H285" s="13" t="str">
        <f t="shared" si="34"/>
        <v>Experienced</v>
      </c>
      <c r="I285" s="65" t="str">
        <f t="shared" si="35"/>
        <v>100000</v>
      </c>
      <c r="J285" s="43">
        <f t="shared" si="36"/>
        <v>30000</v>
      </c>
      <c r="K285" s="13" t="b">
        <f t="shared" si="37"/>
        <v>0</v>
      </c>
      <c r="L285" s="13" t="b">
        <f t="shared" si="38"/>
        <v>1</v>
      </c>
      <c r="M285" s="13" t="str">
        <f t="shared" si="39"/>
        <v>GET BONUS</v>
      </c>
      <c r="N285" s="13" t="str">
        <f t="shared" si="40"/>
        <v>NO BONUS</v>
      </c>
    </row>
    <row r="286" spans="1:14" x14ac:dyDescent="0.25">
      <c r="A286" s="13">
        <v>281</v>
      </c>
      <c r="B286" s="13">
        <v>44</v>
      </c>
      <c r="C286" s="13" t="str">
        <f t="shared" si="33"/>
        <v>Adult</v>
      </c>
      <c r="D286" s="13" t="s">
        <v>9</v>
      </c>
      <c r="E286" s="13" t="s">
        <v>12</v>
      </c>
      <c r="F286" s="13" t="s">
        <v>154</v>
      </c>
      <c r="G286" s="13">
        <v>15</v>
      </c>
      <c r="H286" s="13" t="str">
        <f t="shared" si="34"/>
        <v>Experienced</v>
      </c>
      <c r="I286" s="65" t="str">
        <f t="shared" si="35"/>
        <v>100000</v>
      </c>
      <c r="J286" s="43">
        <f t="shared" si="36"/>
        <v>30000</v>
      </c>
      <c r="K286" s="13" t="b">
        <f t="shared" si="37"/>
        <v>1</v>
      </c>
      <c r="L286" s="13" t="b">
        <f t="shared" si="38"/>
        <v>0</v>
      </c>
      <c r="M286" s="13" t="str">
        <f t="shared" si="39"/>
        <v>GET BONUS</v>
      </c>
      <c r="N286" s="13" t="str">
        <f t="shared" si="40"/>
        <v>NO BONUS</v>
      </c>
    </row>
    <row r="287" spans="1:14" x14ac:dyDescent="0.25">
      <c r="A287" s="13">
        <v>282</v>
      </c>
      <c r="B287" s="13">
        <v>44</v>
      </c>
      <c r="C287" s="13" t="str">
        <f t="shared" si="33"/>
        <v>Adult</v>
      </c>
      <c r="D287" s="13" t="s">
        <v>6</v>
      </c>
      <c r="E287" s="13" t="s">
        <v>7</v>
      </c>
      <c r="F287" s="13" t="s">
        <v>126</v>
      </c>
      <c r="G287" s="13">
        <v>16</v>
      </c>
      <c r="H287" s="13" t="str">
        <f t="shared" si="34"/>
        <v>Experienced</v>
      </c>
      <c r="I287" s="65" t="str">
        <f t="shared" si="35"/>
        <v>150000</v>
      </c>
      <c r="J287" s="43">
        <f t="shared" si="36"/>
        <v>45000</v>
      </c>
      <c r="K287" s="13" t="b">
        <f t="shared" si="37"/>
        <v>0</v>
      </c>
      <c r="L287" s="13" t="b">
        <f t="shared" si="38"/>
        <v>1</v>
      </c>
      <c r="M287" s="13" t="str">
        <f t="shared" si="39"/>
        <v>GET BONUS</v>
      </c>
      <c r="N287" s="13" t="str">
        <f t="shared" si="40"/>
        <v>NO BONUS</v>
      </c>
    </row>
    <row r="288" spans="1:14" x14ac:dyDescent="0.25">
      <c r="A288" s="13">
        <v>283</v>
      </c>
      <c r="B288" s="13">
        <v>44</v>
      </c>
      <c r="C288" s="13" t="str">
        <f t="shared" si="33"/>
        <v>Adult</v>
      </c>
      <c r="D288" s="13" t="s">
        <v>6</v>
      </c>
      <c r="E288" s="13" t="s">
        <v>7</v>
      </c>
      <c r="F288" s="13" t="s">
        <v>78</v>
      </c>
      <c r="G288" s="13">
        <v>14</v>
      </c>
      <c r="H288" s="13" t="str">
        <f t="shared" si="34"/>
        <v>Experienced</v>
      </c>
      <c r="I288" s="65" t="str">
        <f t="shared" si="35"/>
        <v>100000</v>
      </c>
      <c r="J288" s="43">
        <f t="shared" si="36"/>
        <v>30000</v>
      </c>
      <c r="K288" s="13" t="b">
        <f t="shared" si="37"/>
        <v>0</v>
      </c>
      <c r="L288" s="13" t="b">
        <f t="shared" si="38"/>
        <v>1</v>
      </c>
      <c r="M288" s="13" t="str">
        <f t="shared" si="39"/>
        <v>GET BONUS</v>
      </c>
      <c r="N288" s="13" t="str">
        <f t="shared" si="40"/>
        <v>NO BONUS</v>
      </c>
    </row>
    <row r="289" spans="1:14" x14ac:dyDescent="0.25">
      <c r="A289" s="13">
        <v>284</v>
      </c>
      <c r="B289" s="13">
        <v>44</v>
      </c>
      <c r="C289" s="13" t="str">
        <f t="shared" si="33"/>
        <v>Adult</v>
      </c>
      <c r="D289" s="13" t="s">
        <v>9</v>
      </c>
      <c r="E289" s="13" t="s">
        <v>12</v>
      </c>
      <c r="F289" s="13" t="s">
        <v>97</v>
      </c>
      <c r="G289" s="13">
        <v>18</v>
      </c>
      <c r="H289" s="13" t="str">
        <f t="shared" si="34"/>
        <v>Experienced</v>
      </c>
      <c r="I289" s="65" t="str">
        <f t="shared" si="35"/>
        <v>150000</v>
      </c>
      <c r="J289" s="43">
        <f t="shared" si="36"/>
        <v>45000</v>
      </c>
      <c r="K289" s="13" t="b">
        <f t="shared" si="37"/>
        <v>1</v>
      </c>
      <c r="L289" s="13" t="b">
        <f t="shared" si="38"/>
        <v>0</v>
      </c>
      <c r="M289" s="13" t="str">
        <f t="shared" si="39"/>
        <v>GET BONUS</v>
      </c>
      <c r="N289" s="13" t="str">
        <f t="shared" si="40"/>
        <v>NO BONUS</v>
      </c>
    </row>
    <row r="290" spans="1:14" x14ac:dyDescent="0.25">
      <c r="A290" s="13">
        <v>285</v>
      </c>
      <c r="B290" s="13">
        <v>44</v>
      </c>
      <c r="C290" s="13" t="str">
        <f t="shared" si="33"/>
        <v>Adult</v>
      </c>
      <c r="D290" s="13" t="s">
        <v>6</v>
      </c>
      <c r="E290" s="13" t="s">
        <v>7</v>
      </c>
      <c r="F290" s="13" t="s">
        <v>78</v>
      </c>
      <c r="G290" s="13">
        <v>14</v>
      </c>
      <c r="H290" s="13" t="str">
        <f t="shared" si="34"/>
        <v>Experienced</v>
      </c>
      <c r="I290" s="65" t="str">
        <f t="shared" si="35"/>
        <v>100000</v>
      </c>
      <c r="J290" s="43">
        <f t="shared" si="36"/>
        <v>30000</v>
      </c>
      <c r="K290" s="13" t="b">
        <f t="shared" si="37"/>
        <v>0</v>
      </c>
      <c r="L290" s="13" t="b">
        <f t="shared" si="38"/>
        <v>1</v>
      </c>
      <c r="M290" s="13" t="str">
        <f t="shared" si="39"/>
        <v>GET BONUS</v>
      </c>
      <c r="N290" s="13" t="str">
        <f t="shared" si="40"/>
        <v>NO BONUS</v>
      </c>
    </row>
    <row r="291" spans="1:14" x14ac:dyDescent="0.25">
      <c r="A291" s="13">
        <v>286</v>
      </c>
      <c r="B291" s="13">
        <v>44</v>
      </c>
      <c r="C291" s="13" t="str">
        <f t="shared" si="33"/>
        <v>Adult</v>
      </c>
      <c r="D291" s="13" t="s">
        <v>9</v>
      </c>
      <c r="E291" s="13" t="s">
        <v>10</v>
      </c>
      <c r="F291" s="13" t="s">
        <v>178</v>
      </c>
      <c r="G291" s="13">
        <v>15</v>
      </c>
      <c r="H291" s="13" t="str">
        <f t="shared" si="34"/>
        <v>Experienced</v>
      </c>
      <c r="I291" s="65" t="str">
        <f t="shared" si="35"/>
        <v>100000</v>
      </c>
      <c r="J291" s="43">
        <f t="shared" si="36"/>
        <v>30000</v>
      </c>
      <c r="K291" s="13" t="b">
        <f t="shared" si="37"/>
        <v>1</v>
      </c>
      <c r="L291" s="13" t="b">
        <f t="shared" si="38"/>
        <v>0</v>
      </c>
      <c r="M291" s="13" t="str">
        <f t="shared" si="39"/>
        <v>GET BONUS</v>
      </c>
      <c r="N291" s="13" t="str">
        <f t="shared" si="40"/>
        <v>GET BONUS</v>
      </c>
    </row>
    <row r="292" spans="1:14" x14ac:dyDescent="0.25">
      <c r="A292" s="13">
        <v>287</v>
      </c>
      <c r="B292" s="13">
        <v>44</v>
      </c>
      <c r="C292" s="13" t="str">
        <f t="shared" si="33"/>
        <v>Adult</v>
      </c>
      <c r="D292" s="13" t="s">
        <v>9</v>
      </c>
      <c r="E292" s="13" t="s">
        <v>12</v>
      </c>
      <c r="F292" s="13" t="s">
        <v>133</v>
      </c>
      <c r="G292" s="13">
        <v>15</v>
      </c>
      <c r="H292" s="13" t="str">
        <f t="shared" si="34"/>
        <v>Experienced</v>
      </c>
      <c r="I292" s="65" t="str">
        <f t="shared" si="35"/>
        <v>100000</v>
      </c>
      <c r="J292" s="43">
        <f t="shared" si="36"/>
        <v>30000</v>
      </c>
      <c r="K292" s="13" t="b">
        <f t="shared" si="37"/>
        <v>1</v>
      </c>
      <c r="L292" s="13" t="b">
        <f t="shared" si="38"/>
        <v>0</v>
      </c>
      <c r="M292" s="13" t="str">
        <f t="shared" si="39"/>
        <v>GET BONUS</v>
      </c>
      <c r="N292" s="13" t="str">
        <f t="shared" si="40"/>
        <v>NO BONUS</v>
      </c>
    </row>
    <row r="293" spans="1:14" x14ac:dyDescent="0.25">
      <c r="A293" s="13">
        <v>288</v>
      </c>
      <c r="B293" s="13">
        <v>44</v>
      </c>
      <c r="C293" s="13" t="str">
        <f t="shared" si="33"/>
        <v>Adult</v>
      </c>
      <c r="D293" s="13" t="s">
        <v>6</v>
      </c>
      <c r="E293" s="13" t="s">
        <v>7</v>
      </c>
      <c r="F293" s="13" t="s">
        <v>78</v>
      </c>
      <c r="G293" s="13">
        <v>13</v>
      </c>
      <c r="H293" s="13" t="str">
        <f t="shared" si="34"/>
        <v>Experienced</v>
      </c>
      <c r="I293" s="65" t="str">
        <f t="shared" si="35"/>
        <v>100000</v>
      </c>
      <c r="J293" s="43">
        <f t="shared" si="36"/>
        <v>30000</v>
      </c>
      <c r="K293" s="13" t="b">
        <f t="shared" si="37"/>
        <v>0</v>
      </c>
      <c r="L293" s="13" t="b">
        <f t="shared" si="38"/>
        <v>1</v>
      </c>
      <c r="M293" s="13" t="str">
        <f t="shared" si="39"/>
        <v>GET BONUS</v>
      </c>
      <c r="N293" s="13" t="str">
        <f t="shared" si="40"/>
        <v>NO BONUS</v>
      </c>
    </row>
    <row r="294" spans="1:14" x14ac:dyDescent="0.25">
      <c r="A294" s="13">
        <v>289</v>
      </c>
      <c r="B294" s="13">
        <v>44</v>
      </c>
      <c r="C294" s="13" t="str">
        <f t="shared" si="33"/>
        <v>Adult</v>
      </c>
      <c r="D294" s="13" t="s">
        <v>6</v>
      </c>
      <c r="E294" s="13" t="s">
        <v>12</v>
      </c>
      <c r="F294" s="13" t="s">
        <v>67</v>
      </c>
      <c r="G294" s="13">
        <v>16</v>
      </c>
      <c r="H294" s="13" t="str">
        <f t="shared" si="34"/>
        <v>Experienced</v>
      </c>
      <c r="I294" s="65" t="str">
        <f t="shared" si="35"/>
        <v>150000</v>
      </c>
      <c r="J294" s="43">
        <f t="shared" si="36"/>
        <v>45000</v>
      </c>
      <c r="K294" s="13" t="b">
        <f t="shared" si="37"/>
        <v>0</v>
      </c>
      <c r="L294" s="13" t="b">
        <f t="shared" si="38"/>
        <v>1</v>
      </c>
      <c r="M294" s="13" t="str">
        <f t="shared" si="39"/>
        <v>GET BONUS</v>
      </c>
      <c r="N294" s="13" t="str">
        <f t="shared" si="40"/>
        <v>NO BONUS</v>
      </c>
    </row>
    <row r="295" spans="1:14" x14ac:dyDescent="0.25">
      <c r="A295" s="13">
        <v>290</v>
      </c>
      <c r="B295" s="13">
        <v>44</v>
      </c>
      <c r="C295" s="13" t="str">
        <f t="shared" si="33"/>
        <v>Adult</v>
      </c>
      <c r="D295" s="13" t="s">
        <v>9</v>
      </c>
      <c r="E295" s="13" t="s">
        <v>12</v>
      </c>
      <c r="F295" s="13" t="s">
        <v>133</v>
      </c>
      <c r="G295" s="13">
        <v>15</v>
      </c>
      <c r="H295" s="13" t="str">
        <f t="shared" si="34"/>
        <v>Experienced</v>
      </c>
      <c r="I295" s="65" t="str">
        <f t="shared" si="35"/>
        <v>100000</v>
      </c>
      <c r="J295" s="43">
        <f t="shared" si="36"/>
        <v>30000</v>
      </c>
      <c r="K295" s="13" t="b">
        <f t="shared" si="37"/>
        <v>1</v>
      </c>
      <c r="L295" s="13" t="b">
        <f t="shared" si="38"/>
        <v>0</v>
      </c>
      <c r="M295" s="13" t="str">
        <f t="shared" si="39"/>
        <v>GET BONUS</v>
      </c>
      <c r="N295" s="13" t="str">
        <f t="shared" si="40"/>
        <v>NO BONUS</v>
      </c>
    </row>
    <row r="296" spans="1:14" x14ac:dyDescent="0.25">
      <c r="A296" s="13">
        <v>291</v>
      </c>
      <c r="B296" s="13">
        <v>44</v>
      </c>
      <c r="C296" s="13" t="str">
        <f t="shared" si="33"/>
        <v>Adult</v>
      </c>
      <c r="D296" s="13" t="s">
        <v>6</v>
      </c>
      <c r="E296" s="13" t="s">
        <v>7</v>
      </c>
      <c r="F296" s="13" t="s">
        <v>78</v>
      </c>
      <c r="G296" s="13">
        <v>13</v>
      </c>
      <c r="H296" s="13" t="str">
        <f t="shared" si="34"/>
        <v>Experienced</v>
      </c>
      <c r="I296" s="65" t="str">
        <f t="shared" si="35"/>
        <v>100000</v>
      </c>
      <c r="J296" s="43">
        <f t="shared" si="36"/>
        <v>30000</v>
      </c>
      <c r="K296" s="13" t="b">
        <f t="shared" si="37"/>
        <v>0</v>
      </c>
      <c r="L296" s="13" t="b">
        <f t="shared" si="38"/>
        <v>1</v>
      </c>
      <c r="M296" s="13" t="str">
        <f t="shared" si="39"/>
        <v>GET BONUS</v>
      </c>
      <c r="N296" s="13" t="str">
        <f t="shared" si="40"/>
        <v>NO BONUS</v>
      </c>
    </row>
    <row r="297" spans="1:14" x14ac:dyDescent="0.25">
      <c r="A297" s="13">
        <v>292</v>
      </c>
      <c r="B297" s="13">
        <v>44</v>
      </c>
      <c r="C297" s="13" t="str">
        <f t="shared" si="33"/>
        <v>Adult</v>
      </c>
      <c r="D297" s="13" t="s">
        <v>9</v>
      </c>
      <c r="E297" s="13" t="s">
        <v>12</v>
      </c>
      <c r="F297" s="13" t="s">
        <v>108</v>
      </c>
      <c r="G297" s="13">
        <v>15</v>
      </c>
      <c r="H297" s="13" t="str">
        <f t="shared" si="34"/>
        <v>Experienced</v>
      </c>
      <c r="I297" s="65" t="str">
        <f t="shared" si="35"/>
        <v>100000</v>
      </c>
      <c r="J297" s="43">
        <f t="shared" si="36"/>
        <v>30000</v>
      </c>
      <c r="K297" s="13" t="b">
        <f t="shared" si="37"/>
        <v>1</v>
      </c>
      <c r="L297" s="13" t="b">
        <f t="shared" si="38"/>
        <v>0</v>
      </c>
      <c r="M297" s="13" t="str">
        <f t="shared" si="39"/>
        <v>GET BONUS</v>
      </c>
      <c r="N297" s="13" t="str">
        <f t="shared" si="40"/>
        <v>NO BONUS</v>
      </c>
    </row>
    <row r="298" spans="1:14" x14ac:dyDescent="0.25">
      <c r="A298" s="13">
        <v>293</v>
      </c>
      <c r="B298" s="13">
        <v>44</v>
      </c>
      <c r="C298" s="13" t="str">
        <f t="shared" si="33"/>
        <v>Adult</v>
      </c>
      <c r="D298" s="13" t="s">
        <v>9</v>
      </c>
      <c r="E298" s="13" t="s">
        <v>12</v>
      </c>
      <c r="F298" s="13" t="s">
        <v>179</v>
      </c>
      <c r="G298" s="13">
        <v>16</v>
      </c>
      <c r="H298" s="13" t="str">
        <f t="shared" si="34"/>
        <v>Experienced</v>
      </c>
      <c r="I298" s="65" t="str">
        <f t="shared" si="35"/>
        <v>150000</v>
      </c>
      <c r="J298" s="43">
        <f t="shared" si="36"/>
        <v>45000</v>
      </c>
      <c r="K298" s="13" t="b">
        <f t="shared" si="37"/>
        <v>1</v>
      </c>
      <c r="L298" s="13" t="b">
        <f t="shared" si="38"/>
        <v>0</v>
      </c>
      <c r="M298" s="13" t="str">
        <f t="shared" si="39"/>
        <v>GET BONUS</v>
      </c>
      <c r="N298" s="13" t="str">
        <f t="shared" si="40"/>
        <v>NO BONUS</v>
      </c>
    </row>
    <row r="299" spans="1:14" x14ac:dyDescent="0.25">
      <c r="A299" s="13">
        <v>294</v>
      </c>
      <c r="B299" s="13">
        <v>44</v>
      </c>
      <c r="C299" s="13" t="str">
        <f t="shared" si="33"/>
        <v>Adult</v>
      </c>
      <c r="D299" s="13" t="s">
        <v>9</v>
      </c>
      <c r="E299" s="13" t="s">
        <v>12</v>
      </c>
      <c r="F299" s="13" t="s">
        <v>67</v>
      </c>
      <c r="G299" s="13">
        <v>16</v>
      </c>
      <c r="H299" s="13" t="str">
        <f t="shared" si="34"/>
        <v>Experienced</v>
      </c>
      <c r="I299" s="65" t="str">
        <f t="shared" si="35"/>
        <v>150000</v>
      </c>
      <c r="J299" s="43">
        <f t="shared" si="36"/>
        <v>45000</v>
      </c>
      <c r="K299" s="13" t="b">
        <f t="shared" si="37"/>
        <v>1</v>
      </c>
      <c r="L299" s="13" t="b">
        <f t="shared" si="38"/>
        <v>0</v>
      </c>
      <c r="M299" s="13" t="str">
        <f t="shared" si="39"/>
        <v>GET BONUS</v>
      </c>
      <c r="N299" s="13" t="str">
        <f t="shared" si="40"/>
        <v>NO BONUS</v>
      </c>
    </row>
    <row r="300" spans="1:14" x14ac:dyDescent="0.25">
      <c r="A300" s="13">
        <v>295</v>
      </c>
      <c r="B300" s="13">
        <v>44</v>
      </c>
      <c r="C300" s="13" t="str">
        <f t="shared" si="33"/>
        <v>Adult</v>
      </c>
      <c r="D300" s="13" t="s">
        <v>9</v>
      </c>
      <c r="E300" s="13" t="s">
        <v>12</v>
      </c>
      <c r="F300" s="13" t="s">
        <v>108</v>
      </c>
      <c r="G300" s="13">
        <v>15</v>
      </c>
      <c r="H300" s="13" t="str">
        <f t="shared" si="34"/>
        <v>Experienced</v>
      </c>
      <c r="I300" s="65" t="str">
        <f t="shared" si="35"/>
        <v>100000</v>
      </c>
      <c r="J300" s="43">
        <f t="shared" si="36"/>
        <v>30000</v>
      </c>
      <c r="K300" s="13" t="b">
        <f t="shared" si="37"/>
        <v>1</v>
      </c>
      <c r="L300" s="13" t="b">
        <f t="shared" si="38"/>
        <v>0</v>
      </c>
      <c r="M300" s="13" t="str">
        <f t="shared" si="39"/>
        <v>GET BONUS</v>
      </c>
      <c r="N300" s="13" t="str">
        <f t="shared" si="40"/>
        <v>NO BONUS</v>
      </c>
    </row>
    <row r="301" spans="1:14" x14ac:dyDescent="0.25">
      <c r="A301" s="13">
        <v>296</v>
      </c>
      <c r="B301" s="13">
        <v>44</v>
      </c>
      <c r="C301" s="13" t="str">
        <f t="shared" si="33"/>
        <v>Adult</v>
      </c>
      <c r="D301" s="13" t="s">
        <v>9</v>
      </c>
      <c r="E301" s="13" t="s">
        <v>12</v>
      </c>
      <c r="F301" s="13" t="s">
        <v>179</v>
      </c>
      <c r="G301" s="13">
        <v>16</v>
      </c>
      <c r="H301" s="13" t="str">
        <f t="shared" si="34"/>
        <v>Experienced</v>
      </c>
      <c r="I301" s="65" t="str">
        <f t="shared" si="35"/>
        <v>150000</v>
      </c>
      <c r="J301" s="43">
        <f t="shared" si="36"/>
        <v>45000</v>
      </c>
      <c r="K301" s="13" t="b">
        <f t="shared" si="37"/>
        <v>1</v>
      </c>
      <c r="L301" s="13" t="b">
        <f t="shared" si="38"/>
        <v>0</v>
      </c>
      <c r="M301" s="13" t="str">
        <f t="shared" si="39"/>
        <v>GET BONUS</v>
      </c>
      <c r="N301" s="13" t="str">
        <f t="shared" si="40"/>
        <v>NO BONUS</v>
      </c>
    </row>
    <row r="302" spans="1:14" x14ac:dyDescent="0.25">
      <c r="A302" s="13">
        <v>297</v>
      </c>
      <c r="B302" s="13">
        <v>44</v>
      </c>
      <c r="C302" s="13" t="str">
        <f t="shared" si="33"/>
        <v>Adult</v>
      </c>
      <c r="D302" s="13" t="s">
        <v>9</v>
      </c>
      <c r="E302" s="13" t="s">
        <v>12</v>
      </c>
      <c r="F302" s="13" t="s">
        <v>108</v>
      </c>
      <c r="G302" s="13">
        <v>15</v>
      </c>
      <c r="H302" s="13" t="str">
        <f t="shared" si="34"/>
        <v>Experienced</v>
      </c>
      <c r="I302" s="65" t="str">
        <f t="shared" si="35"/>
        <v>100000</v>
      </c>
      <c r="J302" s="43">
        <f t="shared" si="36"/>
        <v>30000</v>
      </c>
      <c r="K302" s="13" t="b">
        <f t="shared" si="37"/>
        <v>1</v>
      </c>
      <c r="L302" s="13" t="b">
        <f t="shared" si="38"/>
        <v>0</v>
      </c>
      <c r="M302" s="13" t="str">
        <f t="shared" si="39"/>
        <v>GET BONUS</v>
      </c>
      <c r="N302" s="13" t="str">
        <f t="shared" si="40"/>
        <v>NO BONUS</v>
      </c>
    </row>
    <row r="303" spans="1:14" x14ac:dyDescent="0.25">
      <c r="A303" s="13">
        <v>298</v>
      </c>
      <c r="B303" s="13">
        <v>45</v>
      </c>
      <c r="C303" s="13" t="str">
        <f t="shared" si="33"/>
        <v>Adult</v>
      </c>
      <c r="D303" s="13" t="s">
        <v>6</v>
      </c>
      <c r="E303" s="13" t="s">
        <v>12</v>
      </c>
      <c r="F303" s="13" t="s">
        <v>13</v>
      </c>
      <c r="G303" s="13">
        <v>15</v>
      </c>
      <c r="H303" s="13" t="str">
        <f t="shared" si="34"/>
        <v>Experienced</v>
      </c>
      <c r="I303" s="65" t="str">
        <f t="shared" si="35"/>
        <v>100000</v>
      </c>
      <c r="J303" s="43">
        <f t="shared" si="36"/>
        <v>30000</v>
      </c>
      <c r="K303" s="13" t="b">
        <f t="shared" si="37"/>
        <v>0</v>
      </c>
      <c r="L303" s="13" t="b">
        <f t="shared" si="38"/>
        <v>1</v>
      </c>
      <c r="M303" s="13" t="str">
        <f t="shared" si="39"/>
        <v>GET BONUS</v>
      </c>
      <c r="N303" s="13" t="str">
        <f t="shared" si="40"/>
        <v>NO BONUS</v>
      </c>
    </row>
    <row r="304" spans="1:14" x14ac:dyDescent="0.25">
      <c r="A304" s="13">
        <v>299</v>
      </c>
      <c r="B304" s="13">
        <v>45</v>
      </c>
      <c r="C304" s="13" t="str">
        <f t="shared" si="33"/>
        <v>Adult</v>
      </c>
      <c r="D304" s="13" t="s">
        <v>9</v>
      </c>
      <c r="E304" s="13" t="s">
        <v>10</v>
      </c>
      <c r="F304" s="13" t="s">
        <v>57</v>
      </c>
      <c r="G304" s="13">
        <v>16</v>
      </c>
      <c r="H304" s="13" t="str">
        <f t="shared" si="34"/>
        <v>Experienced</v>
      </c>
      <c r="I304" s="65" t="str">
        <f t="shared" si="35"/>
        <v>150000</v>
      </c>
      <c r="J304" s="43">
        <f t="shared" si="36"/>
        <v>45000</v>
      </c>
      <c r="K304" s="13" t="b">
        <f t="shared" si="37"/>
        <v>1</v>
      </c>
      <c r="L304" s="13" t="b">
        <f t="shared" si="38"/>
        <v>0</v>
      </c>
      <c r="M304" s="13" t="str">
        <f t="shared" si="39"/>
        <v>GET BONUS</v>
      </c>
      <c r="N304" s="13" t="str">
        <f t="shared" si="40"/>
        <v>GET BONUS</v>
      </c>
    </row>
    <row r="305" spans="1:14" x14ac:dyDescent="0.25">
      <c r="A305" s="13">
        <v>300</v>
      </c>
      <c r="B305" s="13">
        <v>45</v>
      </c>
      <c r="C305" s="13" t="str">
        <f t="shared" si="33"/>
        <v>Adult</v>
      </c>
      <c r="D305" s="13" t="s">
        <v>6</v>
      </c>
      <c r="E305" s="13" t="s">
        <v>12</v>
      </c>
      <c r="F305" s="13" t="s">
        <v>75</v>
      </c>
      <c r="G305" s="13">
        <v>16</v>
      </c>
      <c r="H305" s="13" t="str">
        <f t="shared" si="34"/>
        <v>Experienced</v>
      </c>
      <c r="I305" s="65" t="str">
        <f t="shared" si="35"/>
        <v>150000</v>
      </c>
      <c r="J305" s="43">
        <f t="shared" si="36"/>
        <v>45000</v>
      </c>
      <c r="K305" s="13" t="b">
        <f t="shared" si="37"/>
        <v>0</v>
      </c>
      <c r="L305" s="13" t="b">
        <f t="shared" si="38"/>
        <v>1</v>
      </c>
      <c r="M305" s="13" t="str">
        <f t="shared" si="39"/>
        <v>GET BONUS</v>
      </c>
      <c r="N305" s="13" t="str">
        <f t="shared" si="40"/>
        <v>NO BONUS</v>
      </c>
    </row>
    <row r="306" spans="1:14" x14ac:dyDescent="0.25">
      <c r="A306" s="13">
        <v>301</v>
      </c>
      <c r="B306" s="13">
        <v>45</v>
      </c>
      <c r="C306" s="13" t="str">
        <f t="shared" si="33"/>
        <v>Adult</v>
      </c>
      <c r="D306" s="13" t="s">
        <v>6</v>
      </c>
      <c r="E306" s="13" t="s">
        <v>7</v>
      </c>
      <c r="F306" s="13" t="s">
        <v>95</v>
      </c>
      <c r="G306" s="13">
        <v>20</v>
      </c>
      <c r="H306" s="13" t="str">
        <f t="shared" si="34"/>
        <v>Experienced</v>
      </c>
      <c r="I306" s="65" t="str">
        <f t="shared" si="35"/>
        <v>150000</v>
      </c>
      <c r="J306" s="43">
        <f t="shared" si="36"/>
        <v>45000</v>
      </c>
      <c r="K306" s="13" t="b">
        <f t="shared" si="37"/>
        <v>0</v>
      </c>
      <c r="L306" s="13" t="b">
        <f t="shared" si="38"/>
        <v>1</v>
      </c>
      <c r="M306" s="13" t="str">
        <f t="shared" si="39"/>
        <v>GET BONUS</v>
      </c>
      <c r="N306" s="13" t="str">
        <f t="shared" si="40"/>
        <v>NO BONUS</v>
      </c>
    </row>
    <row r="307" spans="1:14" x14ac:dyDescent="0.25">
      <c r="A307" s="13">
        <v>302</v>
      </c>
      <c r="B307" s="13">
        <v>45</v>
      </c>
      <c r="C307" s="13" t="str">
        <f t="shared" si="33"/>
        <v>Adult</v>
      </c>
      <c r="D307" s="13" t="s">
        <v>6</v>
      </c>
      <c r="E307" s="13" t="s">
        <v>7</v>
      </c>
      <c r="F307" s="13" t="s">
        <v>116</v>
      </c>
      <c r="G307" s="13">
        <v>18</v>
      </c>
      <c r="H307" s="13" t="str">
        <f t="shared" si="34"/>
        <v>Experienced</v>
      </c>
      <c r="I307" s="65" t="str">
        <f t="shared" si="35"/>
        <v>150000</v>
      </c>
      <c r="J307" s="43">
        <f t="shared" si="36"/>
        <v>45000</v>
      </c>
      <c r="K307" s="13" t="b">
        <f t="shared" si="37"/>
        <v>0</v>
      </c>
      <c r="L307" s="13" t="b">
        <f t="shared" si="38"/>
        <v>1</v>
      </c>
      <c r="M307" s="13" t="str">
        <f t="shared" si="39"/>
        <v>GET BONUS</v>
      </c>
      <c r="N307" s="13" t="str">
        <f t="shared" si="40"/>
        <v>NO BONUS</v>
      </c>
    </row>
    <row r="308" spans="1:14" x14ac:dyDescent="0.25">
      <c r="A308" s="13">
        <v>303</v>
      </c>
      <c r="B308" s="13">
        <v>45</v>
      </c>
      <c r="C308" s="13" t="str">
        <f t="shared" si="33"/>
        <v>Adult</v>
      </c>
      <c r="D308" s="13" t="s">
        <v>6</v>
      </c>
      <c r="E308" s="13" t="s">
        <v>10</v>
      </c>
      <c r="F308" s="13" t="s">
        <v>130</v>
      </c>
      <c r="G308" s="13">
        <v>19</v>
      </c>
      <c r="H308" s="13" t="str">
        <f t="shared" si="34"/>
        <v>Experienced</v>
      </c>
      <c r="I308" s="65" t="str">
        <f t="shared" si="35"/>
        <v>150000</v>
      </c>
      <c r="J308" s="43">
        <f t="shared" si="36"/>
        <v>45000</v>
      </c>
      <c r="K308" s="13" t="b">
        <f t="shared" si="37"/>
        <v>0</v>
      </c>
      <c r="L308" s="13" t="b">
        <f t="shared" si="38"/>
        <v>1</v>
      </c>
      <c r="M308" s="13" t="str">
        <f t="shared" si="39"/>
        <v>GET BONUS</v>
      </c>
      <c r="N308" s="13" t="str">
        <f t="shared" si="40"/>
        <v>NO BONUS</v>
      </c>
    </row>
    <row r="309" spans="1:14" x14ac:dyDescent="0.25">
      <c r="A309" s="13">
        <v>304</v>
      </c>
      <c r="B309" s="13">
        <v>45</v>
      </c>
      <c r="C309" s="13" t="str">
        <f t="shared" si="33"/>
        <v>Adult</v>
      </c>
      <c r="D309" s="13" t="s">
        <v>6</v>
      </c>
      <c r="E309" s="13" t="s">
        <v>12</v>
      </c>
      <c r="F309" s="13" t="s">
        <v>164</v>
      </c>
      <c r="G309" s="13">
        <v>17</v>
      </c>
      <c r="H309" s="13" t="str">
        <f t="shared" si="34"/>
        <v>Experienced</v>
      </c>
      <c r="I309" s="65" t="str">
        <f t="shared" si="35"/>
        <v>150000</v>
      </c>
      <c r="J309" s="43">
        <f t="shared" si="36"/>
        <v>45000</v>
      </c>
      <c r="K309" s="13" t="b">
        <f t="shared" si="37"/>
        <v>0</v>
      </c>
      <c r="L309" s="13" t="b">
        <f t="shared" si="38"/>
        <v>1</v>
      </c>
      <c r="M309" s="13" t="str">
        <f t="shared" si="39"/>
        <v>GET BONUS</v>
      </c>
      <c r="N309" s="13" t="str">
        <f t="shared" si="40"/>
        <v>NO BONUS</v>
      </c>
    </row>
    <row r="310" spans="1:14" x14ac:dyDescent="0.25">
      <c r="A310" s="13">
        <v>305</v>
      </c>
      <c r="B310" s="13">
        <v>45</v>
      </c>
      <c r="C310" s="13" t="str">
        <f t="shared" si="33"/>
        <v>Adult</v>
      </c>
      <c r="D310" s="13" t="s">
        <v>9</v>
      </c>
      <c r="E310" s="13" t="s">
        <v>12</v>
      </c>
      <c r="F310" s="13" t="s">
        <v>133</v>
      </c>
      <c r="G310" s="13">
        <v>15</v>
      </c>
      <c r="H310" s="13" t="str">
        <f t="shared" si="34"/>
        <v>Experienced</v>
      </c>
      <c r="I310" s="65" t="str">
        <f t="shared" si="35"/>
        <v>100000</v>
      </c>
      <c r="J310" s="43">
        <f t="shared" si="36"/>
        <v>30000</v>
      </c>
      <c r="K310" s="13" t="b">
        <f t="shared" si="37"/>
        <v>1</v>
      </c>
      <c r="L310" s="13" t="b">
        <f t="shared" si="38"/>
        <v>0</v>
      </c>
      <c r="M310" s="13" t="str">
        <f t="shared" si="39"/>
        <v>GET BONUS</v>
      </c>
      <c r="N310" s="13" t="str">
        <f t="shared" si="40"/>
        <v>NO BONUS</v>
      </c>
    </row>
    <row r="311" spans="1:14" x14ac:dyDescent="0.25">
      <c r="A311" s="13">
        <v>306</v>
      </c>
      <c r="B311" s="13">
        <v>45</v>
      </c>
      <c r="C311" s="13" t="str">
        <f t="shared" si="33"/>
        <v>Adult</v>
      </c>
      <c r="D311" s="13" t="s">
        <v>6</v>
      </c>
      <c r="E311" s="13" t="s">
        <v>10</v>
      </c>
      <c r="F311" s="13" t="s">
        <v>117</v>
      </c>
      <c r="G311" s="13">
        <v>16</v>
      </c>
      <c r="H311" s="13" t="str">
        <f t="shared" si="34"/>
        <v>Experienced</v>
      </c>
      <c r="I311" s="65" t="str">
        <f t="shared" si="35"/>
        <v>150000</v>
      </c>
      <c r="J311" s="43">
        <f t="shared" si="36"/>
        <v>45000</v>
      </c>
      <c r="K311" s="13" t="b">
        <f t="shared" si="37"/>
        <v>0</v>
      </c>
      <c r="L311" s="13" t="b">
        <f t="shared" si="38"/>
        <v>1</v>
      </c>
      <c r="M311" s="13" t="str">
        <f t="shared" si="39"/>
        <v>GET BONUS</v>
      </c>
      <c r="N311" s="13" t="str">
        <f t="shared" si="40"/>
        <v>NO BONUS</v>
      </c>
    </row>
    <row r="312" spans="1:14" x14ac:dyDescent="0.25">
      <c r="A312" s="13">
        <v>307</v>
      </c>
      <c r="B312" s="13">
        <v>45</v>
      </c>
      <c r="C312" s="13" t="str">
        <f t="shared" si="33"/>
        <v>Adult</v>
      </c>
      <c r="D312" s="13" t="s">
        <v>9</v>
      </c>
      <c r="E312" s="13" t="s">
        <v>12</v>
      </c>
      <c r="F312" s="13" t="s">
        <v>133</v>
      </c>
      <c r="G312" s="13">
        <v>15</v>
      </c>
      <c r="H312" s="13" t="str">
        <f t="shared" si="34"/>
        <v>Experienced</v>
      </c>
      <c r="I312" s="65" t="str">
        <f t="shared" si="35"/>
        <v>100000</v>
      </c>
      <c r="J312" s="43">
        <f t="shared" si="36"/>
        <v>30000</v>
      </c>
      <c r="K312" s="13" t="b">
        <f t="shared" si="37"/>
        <v>1</v>
      </c>
      <c r="L312" s="13" t="b">
        <f t="shared" si="38"/>
        <v>0</v>
      </c>
      <c r="M312" s="13" t="str">
        <f t="shared" si="39"/>
        <v>GET BONUS</v>
      </c>
      <c r="N312" s="13" t="str">
        <f t="shared" si="40"/>
        <v>NO BONUS</v>
      </c>
    </row>
    <row r="313" spans="1:14" x14ac:dyDescent="0.25">
      <c r="A313" s="13">
        <v>308</v>
      </c>
      <c r="B313" s="13">
        <v>45</v>
      </c>
      <c r="C313" s="13" t="str">
        <f t="shared" si="33"/>
        <v>Adult</v>
      </c>
      <c r="D313" s="13" t="s">
        <v>6</v>
      </c>
      <c r="E313" s="13" t="s">
        <v>12</v>
      </c>
      <c r="F313" s="13" t="s">
        <v>179</v>
      </c>
      <c r="G313" s="13">
        <v>16</v>
      </c>
      <c r="H313" s="13" t="str">
        <f t="shared" si="34"/>
        <v>Experienced</v>
      </c>
      <c r="I313" s="65" t="str">
        <f t="shared" si="35"/>
        <v>150000</v>
      </c>
      <c r="J313" s="43">
        <f t="shared" si="36"/>
        <v>45000</v>
      </c>
      <c r="K313" s="13" t="b">
        <f t="shared" si="37"/>
        <v>0</v>
      </c>
      <c r="L313" s="13" t="b">
        <f t="shared" si="38"/>
        <v>1</v>
      </c>
      <c r="M313" s="13" t="str">
        <f t="shared" si="39"/>
        <v>GET BONUS</v>
      </c>
      <c r="N313" s="13" t="str">
        <f t="shared" si="40"/>
        <v>NO BONUS</v>
      </c>
    </row>
    <row r="314" spans="1:14" x14ac:dyDescent="0.25">
      <c r="A314" s="13">
        <v>309</v>
      </c>
      <c r="B314" s="13">
        <v>45</v>
      </c>
      <c r="C314" s="13" t="str">
        <f t="shared" si="33"/>
        <v>Adult</v>
      </c>
      <c r="D314" s="13" t="s">
        <v>9</v>
      </c>
      <c r="E314" s="13" t="s">
        <v>10</v>
      </c>
      <c r="F314" s="13" t="s">
        <v>97</v>
      </c>
      <c r="G314" s="13">
        <v>14</v>
      </c>
      <c r="H314" s="13" t="str">
        <f t="shared" si="34"/>
        <v>Experienced</v>
      </c>
      <c r="I314" s="65" t="str">
        <f t="shared" si="35"/>
        <v>100000</v>
      </c>
      <c r="J314" s="43">
        <f t="shared" si="36"/>
        <v>30000</v>
      </c>
      <c r="K314" s="13" t="b">
        <f t="shared" si="37"/>
        <v>1</v>
      </c>
      <c r="L314" s="13" t="b">
        <f t="shared" si="38"/>
        <v>0</v>
      </c>
      <c r="M314" s="13" t="str">
        <f t="shared" si="39"/>
        <v>GET BONUS</v>
      </c>
      <c r="N314" s="13" t="str">
        <f t="shared" si="40"/>
        <v>GET BONUS</v>
      </c>
    </row>
    <row r="315" spans="1:14" x14ac:dyDescent="0.25">
      <c r="A315" s="13">
        <v>310</v>
      </c>
      <c r="B315" s="13">
        <v>45</v>
      </c>
      <c r="C315" s="13" t="str">
        <f t="shared" si="33"/>
        <v>Adult</v>
      </c>
      <c r="D315" s="13" t="s">
        <v>6</v>
      </c>
      <c r="E315" s="13" t="s">
        <v>12</v>
      </c>
      <c r="F315" s="13" t="s">
        <v>179</v>
      </c>
      <c r="G315" s="13">
        <v>16</v>
      </c>
      <c r="H315" s="13" t="str">
        <f t="shared" si="34"/>
        <v>Experienced</v>
      </c>
      <c r="I315" s="65" t="str">
        <f t="shared" si="35"/>
        <v>150000</v>
      </c>
      <c r="J315" s="43">
        <f t="shared" si="36"/>
        <v>45000</v>
      </c>
      <c r="K315" s="13" t="b">
        <f t="shared" si="37"/>
        <v>0</v>
      </c>
      <c r="L315" s="13" t="b">
        <f t="shared" si="38"/>
        <v>1</v>
      </c>
      <c r="M315" s="13" t="str">
        <f t="shared" si="39"/>
        <v>GET BONUS</v>
      </c>
      <c r="N315" s="13" t="str">
        <f t="shared" si="40"/>
        <v>NO BONUS</v>
      </c>
    </row>
    <row r="316" spans="1:14" x14ac:dyDescent="0.25">
      <c r="A316" s="13">
        <v>311</v>
      </c>
      <c r="B316" s="13">
        <v>45</v>
      </c>
      <c r="C316" s="13" t="str">
        <f t="shared" si="33"/>
        <v>Adult</v>
      </c>
      <c r="D316" s="13" t="s">
        <v>9</v>
      </c>
      <c r="E316" s="13" t="s">
        <v>10</v>
      </c>
      <c r="F316" s="13" t="s">
        <v>90</v>
      </c>
      <c r="G316" s="13">
        <v>16</v>
      </c>
      <c r="H316" s="13" t="str">
        <f t="shared" si="34"/>
        <v>Experienced</v>
      </c>
      <c r="I316" s="65" t="str">
        <f t="shared" si="35"/>
        <v>150000</v>
      </c>
      <c r="J316" s="43">
        <f t="shared" si="36"/>
        <v>45000</v>
      </c>
      <c r="K316" s="13" t="b">
        <f t="shared" si="37"/>
        <v>1</v>
      </c>
      <c r="L316" s="13" t="b">
        <f t="shared" si="38"/>
        <v>0</v>
      </c>
      <c r="M316" s="13" t="str">
        <f t="shared" si="39"/>
        <v>GET BONUS</v>
      </c>
      <c r="N316" s="13" t="str">
        <f t="shared" si="40"/>
        <v>GET BONUS</v>
      </c>
    </row>
    <row r="317" spans="1:14" x14ac:dyDescent="0.25">
      <c r="A317" s="13">
        <v>312</v>
      </c>
      <c r="B317" s="13">
        <v>45</v>
      </c>
      <c r="C317" s="13" t="str">
        <f t="shared" si="33"/>
        <v>Adult</v>
      </c>
      <c r="D317" s="13" t="s">
        <v>9</v>
      </c>
      <c r="E317" s="13" t="s">
        <v>12</v>
      </c>
      <c r="F317" s="13" t="s">
        <v>154</v>
      </c>
      <c r="G317" s="13">
        <v>16</v>
      </c>
      <c r="H317" s="13" t="str">
        <f t="shared" si="34"/>
        <v>Experienced</v>
      </c>
      <c r="I317" s="65" t="str">
        <f t="shared" si="35"/>
        <v>150000</v>
      </c>
      <c r="J317" s="43">
        <f t="shared" si="36"/>
        <v>45000</v>
      </c>
      <c r="K317" s="13" t="b">
        <f t="shared" si="37"/>
        <v>1</v>
      </c>
      <c r="L317" s="13" t="b">
        <f t="shared" si="38"/>
        <v>0</v>
      </c>
      <c r="M317" s="13" t="str">
        <f t="shared" si="39"/>
        <v>GET BONUS</v>
      </c>
      <c r="N317" s="13" t="str">
        <f t="shared" si="40"/>
        <v>NO BONUS</v>
      </c>
    </row>
    <row r="318" spans="1:14" x14ac:dyDescent="0.25">
      <c r="A318" s="13">
        <v>313</v>
      </c>
      <c r="B318" s="13">
        <v>45</v>
      </c>
      <c r="C318" s="13" t="str">
        <f t="shared" si="33"/>
        <v>Adult</v>
      </c>
      <c r="D318" s="13" t="s">
        <v>6</v>
      </c>
      <c r="E318" s="13" t="s">
        <v>10</v>
      </c>
      <c r="F318" s="13" t="s">
        <v>184</v>
      </c>
      <c r="G318" s="13">
        <v>19</v>
      </c>
      <c r="H318" s="13" t="str">
        <f t="shared" si="34"/>
        <v>Experienced</v>
      </c>
      <c r="I318" s="65" t="str">
        <f t="shared" si="35"/>
        <v>150000</v>
      </c>
      <c r="J318" s="43">
        <f t="shared" si="36"/>
        <v>45000</v>
      </c>
      <c r="K318" s="13" t="b">
        <f t="shared" si="37"/>
        <v>0</v>
      </c>
      <c r="L318" s="13" t="b">
        <f t="shared" si="38"/>
        <v>1</v>
      </c>
      <c r="M318" s="13" t="str">
        <f t="shared" si="39"/>
        <v>GET BONUS</v>
      </c>
      <c r="N318" s="13" t="str">
        <f t="shared" si="40"/>
        <v>NO BONUS</v>
      </c>
    </row>
    <row r="319" spans="1:14" x14ac:dyDescent="0.25">
      <c r="A319" s="13">
        <v>314</v>
      </c>
      <c r="B319" s="13">
        <v>45</v>
      </c>
      <c r="C319" s="13" t="str">
        <f t="shared" si="33"/>
        <v>Adult</v>
      </c>
      <c r="D319" s="13" t="s">
        <v>9</v>
      </c>
      <c r="E319" s="13" t="s">
        <v>12</v>
      </c>
      <c r="F319" s="13" t="s">
        <v>154</v>
      </c>
      <c r="G319" s="13">
        <v>16</v>
      </c>
      <c r="H319" s="13" t="str">
        <f t="shared" si="34"/>
        <v>Experienced</v>
      </c>
      <c r="I319" s="65" t="str">
        <f t="shared" si="35"/>
        <v>150000</v>
      </c>
      <c r="J319" s="43">
        <f t="shared" si="36"/>
        <v>45000</v>
      </c>
      <c r="K319" s="13" t="b">
        <f t="shared" si="37"/>
        <v>1</v>
      </c>
      <c r="L319" s="13" t="b">
        <f t="shared" si="38"/>
        <v>0</v>
      </c>
      <c r="M319" s="13" t="str">
        <f t="shared" si="39"/>
        <v>GET BONUS</v>
      </c>
      <c r="N319" s="13" t="str">
        <f t="shared" si="40"/>
        <v>NO BONUS</v>
      </c>
    </row>
    <row r="320" spans="1:14" x14ac:dyDescent="0.25">
      <c r="A320" s="13">
        <v>315</v>
      </c>
      <c r="B320" s="13">
        <v>46</v>
      </c>
      <c r="C320" s="13" t="str">
        <f t="shared" si="33"/>
        <v>Adult</v>
      </c>
      <c r="D320" s="13" t="s">
        <v>6</v>
      </c>
      <c r="E320" s="13" t="s">
        <v>12</v>
      </c>
      <c r="F320" s="13" t="s">
        <v>13</v>
      </c>
      <c r="G320" s="13">
        <v>20</v>
      </c>
      <c r="H320" s="13" t="str">
        <f t="shared" si="34"/>
        <v>Experienced</v>
      </c>
      <c r="I320" s="65" t="str">
        <f t="shared" si="35"/>
        <v>150000</v>
      </c>
      <c r="J320" s="43">
        <f t="shared" si="36"/>
        <v>45000</v>
      </c>
      <c r="K320" s="13" t="b">
        <f t="shared" si="37"/>
        <v>0</v>
      </c>
      <c r="L320" s="13" t="b">
        <f t="shared" si="38"/>
        <v>1</v>
      </c>
      <c r="M320" s="13" t="str">
        <f t="shared" si="39"/>
        <v>GET BONUS</v>
      </c>
      <c r="N320" s="13" t="str">
        <f t="shared" si="40"/>
        <v>NO BONUS</v>
      </c>
    </row>
    <row r="321" spans="1:14" x14ac:dyDescent="0.25">
      <c r="A321" s="13">
        <v>316</v>
      </c>
      <c r="B321" s="13">
        <v>46</v>
      </c>
      <c r="C321" s="13" t="str">
        <f t="shared" si="33"/>
        <v>Adult</v>
      </c>
      <c r="D321" s="13" t="s">
        <v>6</v>
      </c>
      <c r="E321" s="13" t="s">
        <v>7</v>
      </c>
      <c r="F321" s="13" t="s">
        <v>70</v>
      </c>
      <c r="G321" s="13">
        <v>19</v>
      </c>
      <c r="H321" s="13" t="str">
        <f t="shared" si="34"/>
        <v>Experienced</v>
      </c>
      <c r="I321" s="65" t="str">
        <f t="shared" si="35"/>
        <v>150000</v>
      </c>
      <c r="J321" s="43">
        <f t="shared" si="36"/>
        <v>45000</v>
      </c>
      <c r="K321" s="13" t="b">
        <f t="shared" si="37"/>
        <v>0</v>
      </c>
      <c r="L321" s="13" t="b">
        <f t="shared" si="38"/>
        <v>1</v>
      </c>
      <c r="M321" s="13" t="str">
        <f t="shared" si="39"/>
        <v>GET BONUS</v>
      </c>
      <c r="N321" s="13" t="str">
        <f t="shared" si="40"/>
        <v>NO BONUS</v>
      </c>
    </row>
    <row r="322" spans="1:14" x14ac:dyDescent="0.25">
      <c r="A322" s="13">
        <v>317</v>
      </c>
      <c r="B322" s="13">
        <v>46</v>
      </c>
      <c r="C322" s="13" t="str">
        <f t="shared" si="33"/>
        <v>Adult</v>
      </c>
      <c r="D322" s="13" t="s">
        <v>6</v>
      </c>
      <c r="E322" s="13" t="s">
        <v>10</v>
      </c>
      <c r="F322" s="13" t="s">
        <v>87</v>
      </c>
      <c r="G322" s="13">
        <v>21</v>
      </c>
      <c r="H322" s="13" t="str">
        <f t="shared" si="34"/>
        <v>Experienced</v>
      </c>
      <c r="I322" s="65" t="str">
        <f t="shared" si="35"/>
        <v>200000</v>
      </c>
      <c r="J322" s="43">
        <f t="shared" si="36"/>
        <v>60000</v>
      </c>
      <c r="K322" s="13" t="b">
        <f t="shared" si="37"/>
        <v>0</v>
      </c>
      <c r="L322" s="13" t="b">
        <f t="shared" si="38"/>
        <v>1</v>
      </c>
      <c r="M322" s="13" t="str">
        <f t="shared" si="39"/>
        <v>GET BONUS</v>
      </c>
      <c r="N322" s="13" t="str">
        <f t="shared" si="40"/>
        <v>NO BONUS</v>
      </c>
    </row>
    <row r="323" spans="1:14" x14ac:dyDescent="0.25">
      <c r="A323" s="13">
        <v>318</v>
      </c>
      <c r="B323" s="13">
        <v>46</v>
      </c>
      <c r="C323" s="13" t="str">
        <f t="shared" si="33"/>
        <v>Adult</v>
      </c>
      <c r="D323" s="13" t="s">
        <v>6</v>
      </c>
      <c r="E323" s="13" t="s">
        <v>10</v>
      </c>
      <c r="F323" s="13" t="s">
        <v>87</v>
      </c>
      <c r="G323" s="13">
        <v>19</v>
      </c>
      <c r="H323" s="13" t="str">
        <f t="shared" si="34"/>
        <v>Experienced</v>
      </c>
      <c r="I323" s="65" t="str">
        <f t="shared" si="35"/>
        <v>150000</v>
      </c>
      <c r="J323" s="43">
        <f t="shared" si="36"/>
        <v>45000</v>
      </c>
      <c r="K323" s="13" t="b">
        <f t="shared" si="37"/>
        <v>0</v>
      </c>
      <c r="L323" s="13" t="b">
        <f t="shared" si="38"/>
        <v>1</v>
      </c>
      <c r="M323" s="13" t="str">
        <f t="shared" si="39"/>
        <v>GET BONUS</v>
      </c>
      <c r="N323" s="13" t="str">
        <f t="shared" si="40"/>
        <v>NO BONUS</v>
      </c>
    </row>
    <row r="324" spans="1:14" x14ac:dyDescent="0.25">
      <c r="A324" s="13">
        <v>319</v>
      </c>
      <c r="B324" s="13">
        <v>46</v>
      </c>
      <c r="C324" s="13" t="str">
        <f t="shared" si="33"/>
        <v>Adult</v>
      </c>
      <c r="D324" s="13" t="s">
        <v>6</v>
      </c>
      <c r="E324" s="13" t="s">
        <v>12</v>
      </c>
      <c r="F324" s="13" t="s">
        <v>147</v>
      </c>
      <c r="G324" s="13">
        <v>18</v>
      </c>
      <c r="H324" s="13" t="str">
        <f t="shared" si="34"/>
        <v>Experienced</v>
      </c>
      <c r="I324" s="65" t="str">
        <f t="shared" si="35"/>
        <v>150000</v>
      </c>
      <c r="J324" s="43">
        <f t="shared" si="36"/>
        <v>45000</v>
      </c>
      <c r="K324" s="13" t="b">
        <f t="shared" si="37"/>
        <v>0</v>
      </c>
      <c r="L324" s="13" t="b">
        <f t="shared" si="38"/>
        <v>1</v>
      </c>
      <c r="M324" s="13" t="str">
        <f t="shared" si="39"/>
        <v>GET BONUS</v>
      </c>
      <c r="N324" s="13" t="str">
        <f t="shared" si="40"/>
        <v>NO BONUS</v>
      </c>
    </row>
    <row r="325" spans="1:14" x14ac:dyDescent="0.25">
      <c r="A325" s="13">
        <v>320</v>
      </c>
      <c r="B325" s="13">
        <v>46</v>
      </c>
      <c r="C325" s="13" t="str">
        <f t="shared" si="33"/>
        <v>Adult</v>
      </c>
      <c r="D325" s="13" t="s">
        <v>6</v>
      </c>
      <c r="E325" s="13" t="s">
        <v>10</v>
      </c>
      <c r="F325" s="13" t="s">
        <v>66</v>
      </c>
      <c r="G325" s="13">
        <v>20</v>
      </c>
      <c r="H325" s="13" t="str">
        <f t="shared" si="34"/>
        <v>Experienced</v>
      </c>
      <c r="I325" s="65" t="str">
        <f t="shared" si="35"/>
        <v>150000</v>
      </c>
      <c r="J325" s="43">
        <f t="shared" si="36"/>
        <v>45000</v>
      </c>
      <c r="K325" s="13" t="b">
        <f t="shared" si="37"/>
        <v>0</v>
      </c>
      <c r="L325" s="13" t="b">
        <f t="shared" si="38"/>
        <v>1</v>
      </c>
      <c r="M325" s="13" t="str">
        <f t="shared" si="39"/>
        <v>GET BONUS</v>
      </c>
      <c r="N325" s="13" t="str">
        <f t="shared" si="40"/>
        <v>NO BONUS</v>
      </c>
    </row>
    <row r="326" spans="1:14" x14ac:dyDescent="0.25">
      <c r="A326" s="13">
        <v>321</v>
      </c>
      <c r="B326" s="13">
        <v>46</v>
      </c>
      <c r="C326" s="13" t="str">
        <f t="shared" ref="C326:C378" si="41">IF(B326&gt;=50,"Senior",IF(B326&gt;=25,"Adult","Teenager"))</f>
        <v>Adult</v>
      </c>
      <c r="D326" s="13" t="s">
        <v>6</v>
      </c>
      <c r="E326" s="13" t="s">
        <v>12</v>
      </c>
      <c r="F326" s="13" t="s">
        <v>67</v>
      </c>
      <c r="G326" s="13">
        <v>18</v>
      </c>
      <c r="H326" s="13" t="str">
        <f t="shared" si="34"/>
        <v>Experienced</v>
      </c>
      <c r="I326" s="65" t="str">
        <f t="shared" si="35"/>
        <v>150000</v>
      </c>
      <c r="J326" s="43">
        <f t="shared" si="36"/>
        <v>45000</v>
      </c>
      <c r="K326" s="13" t="b">
        <f t="shared" si="37"/>
        <v>0</v>
      </c>
      <c r="L326" s="13" t="b">
        <f t="shared" si="38"/>
        <v>1</v>
      </c>
      <c r="M326" s="13" t="str">
        <f t="shared" si="39"/>
        <v>GET BONUS</v>
      </c>
      <c r="N326" s="13" t="str">
        <f t="shared" si="40"/>
        <v>NO BONUS</v>
      </c>
    </row>
    <row r="327" spans="1:14" x14ac:dyDescent="0.25">
      <c r="A327" s="13">
        <v>322</v>
      </c>
      <c r="B327" s="13">
        <v>46</v>
      </c>
      <c r="C327" s="13" t="str">
        <f t="shared" si="41"/>
        <v>Adult</v>
      </c>
      <c r="D327" s="13" t="s">
        <v>6</v>
      </c>
      <c r="E327" s="13" t="s">
        <v>12</v>
      </c>
      <c r="F327" s="13" t="s">
        <v>164</v>
      </c>
      <c r="G327" s="13">
        <v>19</v>
      </c>
      <c r="H327" s="13" t="str">
        <f t="shared" ref="H327:H378" si="42">IF(G327&gt;=4,"Experienced",IF(G327&lt;=3,"Fresher"))</f>
        <v>Experienced</v>
      </c>
      <c r="I327" s="65" t="str">
        <f t="shared" ref="I327:I378" si="43">IF(G327&lt;=1,"20000",IF(G327&lt;=3,"30000",IF(G327&lt;=10,"60000",IF(G327&lt;=15,"100000",IF(G327&lt;=20,"150000",IF(G327&lt;=25,"200000"))))))</f>
        <v>150000</v>
      </c>
      <c r="J327" s="43">
        <f t="shared" ref="J327:J378" si="44">IF(I327&gt;=100000,I327*30%,IF(I327&gt;=50000,I327*20%,IF(I327&lt;50000,I327*10%)))</f>
        <v>45000</v>
      </c>
      <c r="K327" s="13" t="b">
        <f t="shared" ref="K327:K378" si="45">OR(D327="Female",H327="Fresher")</f>
        <v>0</v>
      </c>
      <c r="L327" s="13" t="b">
        <f t="shared" ref="L327:L378" si="46">AND(C327="Adult",D327="Male",H327="Experienced")</f>
        <v>1</v>
      </c>
      <c r="M327" s="13" t="str">
        <f t="shared" ref="M327:M378" si="47">IF(OR(C327="Senior",H327="Experienced"),"GET BONUS","NO BONUS")</f>
        <v>GET BONUS</v>
      </c>
      <c r="N327" s="13" t="str">
        <f t="shared" ref="N327:N378" si="48">IF(AND(D327="Female",E327="Master's"),"GET BONUS","NO BONUS")</f>
        <v>NO BONUS</v>
      </c>
    </row>
    <row r="328" spans="1:14" x14ac:dyDescent="0.25">
      <c r="A328" s="13">
        <v>323</v>
      </c>
      <c r="B328" s="13">
        <v>46</v>
      </c>
      <c r="C328" s="13" t="str">
        <f t="shared" si="41"/>
        <v>Adult</v>
      </c>
      <c r="D328" s="13" t="s">
        <v>6</v>
      </c>
      <c r="E328" s="13" t="s">
        <v>12</v>
      </c>
      <c r="F328" s="13" t="s">
        <v>67</v>
      </c>
      <c r="G328" s="13">
        <v>18</v>
      </c>
      <c r="H328" s="13" t="str">
        <f t="shared" si="42"/>
        <v>Experienced</v>
      </c>
      <c r="I328" s="65" t="str">
        <f t="shared" si="43"/>
        <v>150000</v>
      </c>
      <c r="J328" s="43">
        <f t="shared" si="44"/>
        <v>45000</v>
      </c>
      <c r="K328" s="13" t="b">
        <f t="shared" si="45"/>
        <v>0</v>
      </c>
      <c r="L328" s="13" t="b">
        <f t="shared" si="46"/>
        <v>1</v>
      </c>
      <c r="M328" s="13" t="str">
        <f t="shared" si="47"/>
        <v>GET BONUS</v>
      </c>
      <c r="N328" s="13" t="str">
        <f t="shared" si="48"/>
        <v>NO BONUS</v>
      </c>
    </row>
    <row r="329" spans="1:14" x14ac:dyDescent="0.25">
      <c r="A329" s="13">
        <v>324</v>
      </c>
      <c r="B329" s="13">
        <v>46</v>
      </c>
      <c r="C329" s="13" t="str">
        <f t="shared" si="41"/>
        <v>Adult</v>
      </c>
      <c r="D329" s="13" t="s">
        <v>6</v>
      </c>
      <c r="E329" s="13" t="s">
        <v>12</v>
      </c>
      <c r="F329" s="13" t="s">
        <v>164</v>
      </c>
      <c r="G329" s="13">
        <v>17</v>
      </c>
      <c r="H329" s="13" t="str">
        <f t="shared" si="42"/>
        <v>Experienced</v>
      </c>
      <c r="I329" s="65" t="str">
        <f t="shared" si="43"/>
        <v>150000</v>
      </c>
      <c r="J329" s="43">
        <f t="shared" si="44"/>
        <v>45000</v>
      </c>
      <c r="K329" s="13" t="b">
        <f t="shared" si="45"/>
        <v>0</v>
      </c>
      <c r="L329" s="13" t="b">
        <f t="shared" si="46"/>
        <v>1</v>
      </c>
      <c r="M329" s="13" t="str">
        <f t="shared" si="47"/>
        <v>GET BONUS</v>
      </c>
      <c r="N329" s="13" t="str">
        <f t="shared" si="48"/>
        <v>NO BONUS</v>
      </c>
    </row>
    <row r="330" spans="1:14" x14ac:dyDescent="0.25">
      <c r="A330" s="13">
        <v>325</v>
      </c>
      <c r="B330" s="13">
        <v>47</v>
      </c>
      <c r="C330" s="13" t="str">
        <f t="shared" si="41"/>
        <v>Adult</v>
      </c>
      <c r="D330" s="13" t="s">
        <v>6</v>
      </c>
      <c r="E330" s="13" t="s">
        <v>10</v>
      </c>
      <c r="F330" s="13" t="s">
        <v>32</v>
      </c>
      <c r="G330" s="13">
        <v>19</v>
      </c>
      <c r="H330" s="13" t="str">
        <f t="shared" si="42"/>
        <v>Experienced</v>
      </c>
      <c r="I330" s="65" t="str">
        <f t="shared" si="43"/>
        <v>150000</v>
      </c>
      <c r="J330" s="43">
        <f t="shared" si="44"/>
        <v>45000</v>
      </c>
      <c r="K330" s="13" t="b">
        <f t="shared" si="45"/>
        <v>0</v>
      </c>
      <c r="L330" s="13" t="b">
        <f t="shared" si="46"/>
        <v>1</v>
      </c>
      <c r="M330" s="13" t="str">
        <f t="shared" si="47"/>
        <v>GET BONUS</v>
      </c>
      <c r="N330" s="13" t="str">
        <f t="shared" si="48"/>
        <v>NO BONUS</v>
      </c>
    </row>
    <row r="331" spans="1:14" x14ac:dyDescent="0.25">
      <c r="A331" s="13">
        <v>326</v>
      </c>
      <c r="B331" s="13">
        <v>47</v>
      </c>
      <c r="C331" s="13" t="str">
        <f t="shared" si="41"/>
        <v>Adult</v>
      </c>
      <c r="D331" s="13" t="s">
        <v>6</v>
      </c>
      <c r="E331" s="13" t="s">
        <v>10</v>
      </c>
      <c r="F331" s="13" t="s">
        <v>62</v>
      </c>
      <c r="G331" s="13">
        <v>19</v>
      </c>
      <c r="H331" s="13" t="str">
        <f t="shared" si="42"/>
        <v>Experienced</v>
      </c>
      <c r="I331" s="65" t="str">
        <f t="shared" si="43"/>
        <v>150000</v>
      </c>
      <c r="J331" s="43">
        <f t="shared" si="44"/>
        <v>45000</v>
      </c>
      <c r="K331" s="13" t="b">
        <f t="shared" si="45"/>
        <v>0</v>
      </c>
      <c r="L331" s="13" t="b">
        <f t="shared" si="46"/>
        <v>1</v>
      </c>
      <c r="M331" s="13" t="str">
        <f t="shared" si="47"/>
        <v>GET BONUS</v>
      </c>
      <c r="N331" s="13" t="str">
        <f t="shared" si="48"/>
        <v>NO BONUS</v>
      </c>
    </row>
    <row r="332" spans="1:14" x14ac:dyDescent="0.25">
      <c r="A332" s="13">
        <v>327</v>
      </c>
      <c r="B332" s="13">
        <v>47</v>
      </c>
      <c r="C332" s="13" t="str">
        <f t="shared" si="41"/>
        <v>Adult</v>
      </c>
      <c r="D332" s="13" t="s">
        <v>6</v>
      </c>
      <c r="E332" s="13" t="s">
        <v>12</v>
      </c>
      <c r="F332" s="13" t="s">
        <v>67</v>
      </c>
      <c r="G332" s="13">
        <v>21</v>
      </c>
      <c r="H332" s="13" t="str">
        <f t="shared" si="42"/>
        <v>Experienced</v>
      </c>
      <c r="I332" s="65" t="str">
        <f t="shared" si="43"/>
        <v>200000</v>
      </c>
      <c r="J332" s="43">
        <f t="shared" si="44"/>
        <v>60000</v>
      </c>
      <c r="K332" s="13" t="b">
        <f t="shared" si="45"/>
        <v>0</v>
      </c>
      <c r="L332" s="13" t="b">
        <f t="shared" si="46"/>
        <v>1</v>
      </c>
      <c r="M332" s="13" t="str">
        <f t="shared" si="47"/>
        <v>GET BONUS</v>
      </c>
      <c r="N332" s="13" t="str">
        <f t="shared" si="48"/>
        <v>NO BONUS</v>
      </c>
    </row>
    <row r="333" spans="1:14" x14ac:dyDescent="0.25">
      <c r="A333" s="13">
        <v>328</v>
      </c>
      <c r="B333" s="13">
        <v>47</v>
      </c>
      <c r="C333" s="13" t="str">
        <f t="shared" si="41"/>
        <v>Adult</v>
      </c>
      <c r="D333" s="13" t="s">
        <v>6</v>
      </c>
      <c r="E333" s="13" t="s">
        <v>12</v>
      </c>
      <c r="F333" s="13" t="s">
        <v>92</v>
      </c>
      <c r="G333" s="13">
        <v>22</v>
      </c>
      <c r="H333" s="13" t="str">
        <f t="shared" si="42"/>
        <v>Experienced</v>
      </c>
      <c r="I333" s="65" t="str">
        <f t="shared" si="43"/>
        <v>200000</v>
      </c>
      <c r="J333" s="43">
        <f t="shared" si="44"/>
        <v>60000</v>
      </c>
      <c r="K333" s="13" t="b">
        <f t="shared" si="45"/>
        <v>0</v>
      </c>
      <c r="L333" s="13" t="b">
        <f t="shared" si="46"/>
        <v>1</v>
      </c>
      <c r="M333" s="13" t="str">
        <f t="shared" si="47"/>
        <v>GET BONUS</v>
      </c>
      <c r="N333" s="13" t="str">
        <f t="shared" si="48"/>
        <v>NO BONUS</v>
      </c>
    </row>
    <row r="334" spans="1:14" x14ac:dyDescent="0.25">
      <c r="A334" s="13">
        <v>329</v>
      </c>
      <c r="B334" s="13">
        <v>47</v>
      </c>
      <c r="C334" s="13" t="str">
        <f t="shared" si="41"/>
        <v>Adult</v>
      </c>
      <c r="D334" s="13" t="s">
        <v>6</v>
      </c>
      <c r="E334" s="13" t="s">
        <v>12</v>
      </c>
      <c r="F334" s="13" t="s">
        <v>120</v>
      </c>
      <c r="G334" s="13">
        <v>22</v>
      </c>
      <c r="H334" s="13" t="str">
        <f t="shared" si="42"/>
        <v>Experienced</v>
      </c>
      <c r="I334" s="65" t="str">
        <f t="shared" si="43"/>
        <v>200000</v>
      </c>
      <c r="J334" s="43">
        <f t="shared" si="44"/>
        <v>60000</v>
      </c>
      <c r="K334" s="13" t="b">
        <f t="shared" si="45"/>
        <v>0</v>
      </c>
      <c r="L334" s="13" t="b">
        <f t="shared" si="46"/>
        <v>1</v>
      </c>
      <c r="M334" s="13" t="str">
        <f t="shared" si="47"/>
        <v>GET BONUS</v>
      </c>
      <c r="N334" s="13" t="str">
        <f t="shared" si="48"/>
        <v>NO BONUS</v>
      </c>
    </row>
    <row r="335" spans="1:14" x14ac:dyDescent="0.25">
      <c r="A335" s="13">
        <v>330</v>
      </c>
      <c r="B335" s="13">
        <v>47</v>
      </c>
      <c r="C335" s="13" t="str">
        <f t="shared" si="41"/>
        <v>Adult</v>
      </c>
      <c r="D335" s="13" t="s">
        <v>6</v>
      </c>
      <c r="E335" s="13" t="s">
        <v>7</v>
      </c>
      <c r="F335" s="13" t="s">
        <v>126</v>
      </c>
      <c r="G335" s="13">
        <v>20</v>
      </c>
      <c r="H335" s="13" t="str">
        <f t="shared" si="42"/>
        <v>Experienced</v>
      </c>
      <c r="I335" s="65" t="str">
        <f t="shared" si="43"/>
        <v>150000</v>
      </c>
      <c r="J335" s="43">
        <f t="shared" si="44"/>
        <v>45000</v>
      </c>
      <c r="K335" s="13" t="b">
        <f t="shared" si="45"/>
        <v>0</v>
      </c>
      <c r="L335" s="13" t="b">
        <f t="shared" si="46"/>
        <v>1</v>
      </c>
      <c r="M335" s="13" t="str">
        <f t="shared" si="47"/>
        <v>GET BONUS</v>
      </c>
      <c r="N335" s="13" t="str">
        <f t="shared" si="48"/>
        <v>NO BONUS</v>
      </c>
    </row>
    <row r="336" spans="1:14" x14ac:dyDescent="0.25">
      <c r="A336" s="13">
        <v>331</v>
      </c>
      <c r="B336" s="13">
        <v>47</v>
      </c>
      <c r="C336" s="13" t="str">
        <f t="shared" si="41"/>
        <v>Adult</v>
      </c>
      <c r="D336" s="13" t="s">
        <v>6</v>
      </c>
      <c r="E336" s="13" t="s">
        <v>10</v>
      </c>
      <c r="F336" s="13" t="s">
        <v>161</v>
      </c>
      <c r="G336" s="13">
        <v>19</v>
      </c>
      <c r="H336" s="13" t="str">
        <f t="shared" si="42"/>
        <v>Experienced</v>
      </c>
      <c r="I336" s="65" t="str">
        <f t="shared" si="43"/>
        <v>150000</v>
      </c>
      <c r="J336" s="43">
        <f t="shared" si="44"/>
        <v>45000</v>
      </c>
      <c r="K336" s="13" t="b">
        <f t="shared" si="45"/>
        <v>0</v>
      </c>
      <c r="L336" s="13" t="b">
        <f t="shared" si="46"/>
        <v>1</v>
      </c>
      <c r="M336" s="13" t="str">
        <f t="shared" si="47"/>
        <v>GET BONUS</v>
      </c>
      <c r="N336" s="13" t="str">
        <f t="shared" si="48"/>
        <v>NO BONUS</v>
      </c>
    </row>
    <row r="337" spans="1:14" x14ac:dyDescent="0.25">
      <c r="A337" s="13">
        <v>332</v>
      </c>
      <c r="B337" s="13">
        <v>47</v>
      </c>
      <c r="C337" s="13" t="str">
        <f t="shared" si="41"/>
        <v>Adult</v>
      </c>
      <c r="D337" s="13" t="s">
        <v>6</v>
      </c>
      <c r="E337" s="13" t="s">
        <v>10</v>
      </c>
      <c r="F337" s="13" t="s">
        <v>149</v>
      </c>
      <c r="G337" s="13">
        <v>20</v>
      </c>
      <c r="H337" s="13" t="str">
        <f t="shared" si="42"/>
        <v>Experienced</v>
      </c>
      <c r="I337" s="65" t="str">
        <f t="shared" si="43"/>
        <v>150000</v>
      </c>
      <c r="J337" s="43">
        <f t="shared" si="44"/>
        <v>45000</v>
      </c>
      <c r="K337" s="13" t="b">
        <f t="shared" si="45"/>
        <v>0</v>
      </c>
      <c r="L337" s="13" t="b">
        <f t="shared" si="46"/>
        <v>1</v>
      </c>
      <c r="M337" s="13" t="str">
        <f t="shared" si="47"/>
        <v>GET BONUS</v>
      </c>
      <c r="N337" s="13" t="str">
        <f t="shared" si="48"/>
        <v>NO BONUS</v>
      </c>
    </row>
    <row r="338" spans="1:14" x14ac:dyDescent="0.25">
      <c r="A338" s="13">
        <v>333</v>
      </c>
      <c r="B338" s="13">
        <v>47</v>
      </c>
      <c r="C338" s="13" t="str">
        <f t="shared" si="41"/>
        <v>Adult</v>
      </c>
      <c r="D338" s="13" t="s">
        <v>6</v>
      </c>
      <c r="E338" s="13" t="s">
        <v>10</v>
      </c>
      <c r="F338" s="13" t="s">
        <v>66</v>
      </c>
      <c r="G338" s="13">
        <v>20</v>
      </c>
      <c r="H338" s="13" t="str">
        <f t="shared" si="42"/>
        <v>Experienced</v>
      </c>
      <c r="I338" s="65" t="str">
        <f t="shared" si="43"/>
        <v>150000</v>
      </c>
      <c r="J338" s="43">
        <f t="shared" si="44"/>
        <v>45000</v>
      </c>
      <c r="K338" s="13" t="b">
        <f t="shared" si="45"/>
        <v>0</v>
      </c>
      <c r="L338" s="13" t="b">
        <f t="shared" si="46"/>
        <v>1</v>
      </c>
      <c r="M338" s="13" t="str">
        <f t="shared" si="47"/>
        <v>GET BONUS</v>
      </c>
      <c r="N338" s="13" t="str">
        <f t="shared" si="48"/>
        <v>NO BONUS</v>
      </c>
    </row>
    <row r="339" spans="1:14" x14ac:dyDescent="0.25">
      <c r="A339" s="13">
        <v>334</v>
      </c>
      <c r="B339" s="13">
        <v>47</v>
      </c>
      <c r="C339" s="13" t="str">
        <f t="shared" si="41"/>
        <v>Adult</v>
      </c>
      <c r="D339" s="13" t="s">
        <v>9</v>
      </c>
      <c r="E339" s="13" t="s">
        <v>10</v>
      </c>
      <c r="F339" s="13" t="s">
        <v>57</v>
      </c>
      <c r="G339" s="13">
        <v>20</v>
      </c>
      <c r="H339" s="13" t="str">
        <f t="shared" si="42"/>
        <v>Experienced</v>
      </c>
      <c r="I339" s="65" t="str">
        <f t="shared" si="43"/>
        <v>150000</v>
      </c>
      <c r="J339" s="43">
        <f t="shared" si="44"/>
        <v>45000</v>
      </c>
      <c r="K339" s="13" t="b">
        <f t="shared" si="45"/>
        <v>1</v>
      </c>
      <c r="L339" s="13" t="b">
        <f t="shared" si="46"/>
        <v>0</v>
      </c>
      <c r="M339" s="13" t="str">
        <f t="shared" si="47"/>
        <v>GET BONUS</v>
      </c>
      <c r="N339" s="13" t="str">
        <f t="shared" si="48"/>
        <v>GET BONUS</v>
      </c>
    </row>
    <row r="340" spans="1:14" x14ac:dyDescent="0.25">
      <c r="A340" s="13">
        <v>335</v>
      </c>
      <c r="B340" s="13">
        <v>47</v>
      </c>
      <c r="C340" s="13" t="str">
        <f t="shared" si="41"/>
        <v>Adult</v>
      </c>
      <c r="D340" s="13" t="s">
        <v>6</v>
      </c>
      <c r="E340" s="13" t="s">
        <v>10</v>
      </c>
      <c r="F340" s="13" t="s">
        <v>57</v>
      </c>
      <c r="G340" s="13">
        <v>19</v>
      </c>
      <c r="H340" s="13" t="str">
        <f t="shared" si="42"/>
        <v>Experienced</v>
      </c>
      <c r="I340" s="65" t="str">
        <f t="shared" si="43"/>
        <v>150000</v>
      </c>
      <c r="J340" s="43">
        <f t="shared" si="44"/>
        <v>45000</v>
      </c>
      <c r="K340" s="13" t="b">
        <f t="shared" si="45"/>
        <v>0</v>
      </c>
      <c r="L340" s="13" t="b">
        <f t="shared" si="46"/>
        <v>1</v>
      </c>
      <c r="M340" s="13" t="str">
        <f t="shared" si="47"/>
        <v>GET BONUS</v>
      </c>
      <c r="N340" s="13" t="str">
        <f t="shared" si="48"/>
        <v>NO BONUS</v>
      </c>
    </row>
    <row r="341" spans="1:14" x14ac:dyDescent="0.25">
      <c r="A341" s="13">
        <v>336</v>
      </c>
      <c r="B341" s="13">
        <v>47</v>
      </c>
      <c r="C341" s="13" t="str">
        <f t="shared" si="41"/>
        <v>Adult</v>
      </c>
      <c r="D341" s="13" t="s">
        <v>6</v>
      </c>
      <c r="E341" s="13" t="s">
        <v>10</v>
      </c>
      <c r="F341" s="13" t="s">
        <v>57</v>
      </c>
      <c r="G341" s="13">
        <v>19</v>
      </c>
      <c r="H341" s="13" t="str">
        <f t="shared" si="42"/>
        <v>Experienced</v>
      </c>
      <c r="I341" s="65" t="str">
        <f t="shared" si="43"/>
        <v>150000</v>
      </c>
      <c r="J341" s="43">
        <f t="shared" si="44"/>
        <v>45000</v>
      </c>
      <c r="K341" s="13" t="b">
        <f t="shared" si="45"/>
        <v>0</v>
      </c>
      <c r="L341" s="13" t="b">
        <f t="shared" si="46"/>
        <v>1</v>
      </c>
      <c r="M341" s="13" t="str">
        <f t="shared" si="47"/>
        <v>GET BONUS</v>
      </c>
      <c r="N341" s="13" t="str">
        <f t="shared" si="48"/>
        <v>NO BONUS</v>
      </c>
    </row>
    <row r="342" spans="1:14" x14ac:dyDescent="0.25">
      <c r="A342" s="13">
        <v>337</v>
      </c>
      <c r="B342" s="13">
        <v>47</v>
      </c>
      <c r="C342" s="13" t="str">
        <f t="shared" si="41"/>
        <v>Adult</v>
      </c>
      <c r="D342" s="13" t="s">
        <v>6</v>
      </c>
      <c r="E342" s="13" t="s">
        <v>12</v>
      </c>
      <c r="F342" s="13" t="s">
        <v>184</v>
      </c>
      <c r="G342" s="13">
        <v>20</v>
      </c>
      <c r="H342" s="13" t="str">
        <f t="shared" si="42"/>
        <v>Experienced</v>
      </c>
      <c r="I342" s="65" t="str">
        <f t="shared" si="43"/>
        <v>150000</v>
      </c>
      <c r="J342" s="43">
        <f t="shared" si="44"/>
        <v>45000</v>
      </c>
      <c r="K342" s="13" t="b">
        <f t="shared" si="45"/>
        <v>0</v>
      </c>
      <c r="L342" s="13" t="b">
        <f t="shared" si="46"/>
        <v>1</v>
      </c>
      <c r="M342" s="13" t="str">
        <f t="shared" si="47"/>
        <v>GET BONUS</v>
      </c>
      <c r="N342" s="13" t="str">
        <f t="shared" si="48"/>
        <v>NO BONUS</v>
      </c>
    </row>
    <row r="343" spans="1:14" x14ac:dyDescent="0.25">
      <c r="A343" s="13">
        <v>338</v>
      </c>
      <c r="B343" s="13">
        <v>47</v>
      </c>
      <c r="C343" s="13" t="str">
        <f t="shared" si="41"/>
        <v>Adult</v>
      </c>
      <c r="D343" s="13" t="s">
        <v>6</v>
      </c>
      <c r="E343" s="13" t="s">
        <v>10</v>
      </c>
      <c r="F343" s="13" t="s">
        <v>66</v>
      </c>
      <c r="G343" s="13">
        <v>19</v>
      </c>
      <c r="H343" s="13" t="str">
        <f t="shared" si="42"/>
        <v>Experienced</v>
      </c>
      <c r="I343" s="65" t="str">
        <f t="shared" si="43"/>
        <v>150000</v>
      </c>
      <c r="J343" s="43">
        <f t="shared" si="44"/>
        <v>45000</v>
      </c>
      <c r="K343" s="13" t="b">
        <f t="shared" si="45"/>
        <v>0</v>
      </c>
      <c r="L343" s="13" t="b">
        <f t="shared" si="46"/>
        <v>1</v>
      </c>
      <c r="M343" s="13" t="str">
        <f t="shared" si="47"/>
        <v>GET BONUS</v>
      </c>
      <c r="N343" s="13" t="str">
        <f t="shared" si="48"/>
        <v>NO BONUS</v>
      </c>
    </row>
    <row r="344" spans="1:14" x14ac:dyDescent="0.25">
      <c r="A344" s="13">
        <v>339</v>
      </c>
      <c r="B344" s="13">
        <v>47</v>
      </c>
      <c r="C344" s="13" t="str">
        <f t="shared" si="41"/>
        <v>Adult</v>
      </c>
      <c r="D344" s="13" t="s">
        <v>6</v>
      </c>
      <c r="E344" s="13" t="s">
        <v>10</v>
      </c>
      <c r="F344" s="13" t="s">
        <v>66</v>
      </c>
      <c r="G344" s="13">
        <v>19</v>
      </c>
      <c r="H344" s="13" t="str">
        <f t="shared" si="42"/>
        <v>Experienced</v>
      </c>
      <c r="I344" s="65" t="str">
        <f t="shared" si="43"/>
        <v>150000</v>
      </c>
      <c r="J344" s="43">
        <f t="shared" si="44"/>
        <v>45000</v>
      </c>
      <c r="K344" s="13" t="b">
        <f t="shared" si="45"/>
        <v>0</v>
      </c>
      <c r="L344" s="13" t="b">
        <f t="shared" si="46"/>
        <v>1</v>
      </c>
      <c r="M344" s="13" t="str">
        <f t="shared" si="47"/>
        <v>GET BONUS</v>
      </c>
      <c r="N344" s="13" t="str">
        <f t="shared" si="48"/>
        <v>NO BONUS</v>
      </c>
    </row>
    <row r="345" spans="1:14" x14ac:dyDescent="0.25">
      <c r="A345" s="13">
        <v>340</v>
      </c>
      <c r="B345" s="13">
        <v>48</v>
      </c>
      <c r="C345" s="13" t="str">
        <f t="shared" si="41"/>
        <v>Adult</v>
      </c>
      <c r="D345" s="13" t="s">
        <v>9</v>
      </c>
      <c r="E345" s="13" t="s">
        <v>7</v>
      </c>
      <c r="F345" s="13" t="s">
        <v>22</v>
      </c>
      <c r="G345" s="13">
        <v>18</v>
      </c>
      <c r="H345" s="13" t="str">
        <f t="shared" si="42"/>
        <v>Experienced</v>
      </c>
      <c r="I345" s="65" t="str">
        <f t="shared" si="43"/>
        <v>150000</v>
      </c>
      <c r="J345" s="43">
        <f t="shared" si="44"/>
        <v>45000</v>
      </c>
      <c r="K345" s="13" t="b">
        <f t="shared" si="45"/>
        <v>1</v>
      </c>
      <c r="L345" s="13" t="b">
        <f t="shared" si="46"/>
        <v>0</v>
      </c>
      <c r="M345" s="13" t="str">
        <f t="shared" si="47"/>
        <v>GET BONUS</v>
      </c>
      <c r="N345" s="13" t="str">
        <f t="shared" si="48"/>
        <v>NO BONUS</v>
      </c>
    </row>
    <row r="346" spans="1:14" x14ac:dyDescent="0.25">
      <c r="A346" s="13">
        <v>341</v>
      </c>
      <c r="B346" s="13">
        <v>48</v>
      </c>
      <c r="C346" s="13" t="str">
        <f t="shared" si="41"/>
        <v>Adult</v>
      </c>
      <c r="D346" s="13" t="s">
        <v>6</v>
      </c>
      <c r="E346" s="13" t="s">
        <v>10</v>
      </c>
      <c r="F346" s="13" t="s">
        <v>51</v>
      </c>
      <c r="G346" s="13">
        <v>18</v>
      </c>
      <c r="H346" s="13" t="str">
        <f t="shared" si="42"/>
        <v>Experienced</v>
      </c>
      <c r="I346" s="65" t="str">
        <f t="shared" si="43"/>
        <v>150000</v>
      </c>
      <c r="J346" s="43">
        <f t="shared" si="44"/>
        <v>45000</v>
      </c>
      <c r="K346" s="13" t="b">
        <f t="shared" si="45"/>
        <v>0</v>
      </c>
      <c r="L346" s="13" t="b">
        <f t="shared" si="46"/>
        <v>1</v>
      </c>
      <c r="M346" s="13" t="str">
        <f t="shared" si="47"/>
        <v>GET BONUS</v>
      </c>
      <c r="N346" s="13" t="str">
        <f t="shared" si="48"/>
        <v>NO BONUS</v>
      </c>
    </row>
    <row r="347" spans="1:14" x14ac:dyDescent="0.25">
      <c r="A347" s="13">
        <v>342</v>
      </c>
      <c r="B347" s="13">
        <v>48</v>
      </c>
      <c r="C347" s="13" t="str">
        <f t="shared" si="41"/>
        <v>Adult</v>
      </c>
      <c r="D347" s="13" t="s">
        <v>9</v>
      </c>
      <c r="E347" s="13" t="s">
        <v>10</v>
      </c>
      <c r="F347" s="13" t="s">
        <v>79</v>
      </c>
      <c r="G347" s="13">
        <v>20</v>
      </c>
      <c r="H347" s="13" t="str">
        <f t="shared" si="42"/>
        <v>Experienced</v>
      </c>
      <c r="I347" s="65" t="str">
        <f t="shared" si="43"/>
        <v>150000</v>
      </c>
      <c r="J347" s="43">
        <f t="shared" si="44"/>
        <v>45000</v>
      </c>
      <c r="K347" s="13" t="b">
        <f t="shared" si="45"/>
        <v>1</v>
      </c>
      <c r="L347" s="13" t="b">
        <f t="shared" si="46"/>
        <v>0</v>
      </c>
      <c r="M347" s="13" t="str">
        <f t="shared" si="47"/>
        <v>GET BONUS</v>
      </c>
      <c r="N347" s="13" t="str">
        <f t="shared" si="48"/>
        <v>GET BONUS</v>
      </c>
    </row>
    <row r="348" spans="1:14" x14ac:dyDescent="0.25">
      <c r="A348" s="13">
        <v>343</v>
      </c>
      <c r="B348" s="13">
        <v>48</v>
      </c>
      <c r="C348" s="13" t="str">
        <f t="shared" si="41"/>
        <v>Adult</v>
      </c>
      <c r="D348" s="13" t="s">
        <v>6</v>
      </c>
      <c r="E348" s="13" t="s">
        <v>12</v>
      </c>
      <c r="F348" s="13" t="s">
        <v>111</v>
      </c>
      <c r="G348" s="13">
        <v>20</v>
      </c>
      <c r="H348" s="13" t="str">
        <f t="shared" si="42"/>
        <v>Experienced</v>
      </c>
      <c r="I348" s="65" t="str">
        <f t="shared" si="43"/>
        <v>150000</v>
      </c>
      <c r="J348" s="43">
        <f t="shared" si="44"/>
        <v>45000</v>
      </c>
      <c r="K348" s="13" t="b">
        <f t="shared" si="45"/>
        <v>0</v>
      </c>
      <c r="L348" s="13" t="b">
        <f t="shared" si="46"/>
        <v>1</v>
      </c>
      <c r="M348" s="13" t="str">
        <f t="shared" si="47"/>
        <v>GET BONUS</v>
      </c>
      <c r="N348" s="13" t="str">
        <f t="shared" si="48"/>
        <v>NO BONUS</v>
      </c>
    </row>
    <row r="349" spans="1:14" x14ac:dyDescent="0.25">
      <c r="A349" s="13">
        <v>344</v>
      </c>
      <c r="B349" s="13">
        <v>48</v>
      </c>
      <c r="C349" s="13" t="str">
        <f t="shared" si="41"/>
        <v>Adult</v>
      </c>
      <c r="D349" s="13" t="s">
        <v>6</v>
      </c>
      <c r="E349" s="13" t="s">
        <v>10</v>
      </c>
      <c r="F349" s="13" t="s">
        <v>141</v>
      </c>
      <c r="G349" s="13">
        <v>21</v>
      </c>
      <c r="H349" s="13" t="str">
        <f t="shared" si="42"/>
        <v>Experienced</v>
      </c>
      <c r="I349" s="65" t="str">
        <f t="shared" si="43"/>
        <v>200000</v>
      </c>
      <c r="J349" s="43">
        <f t="shared" si="44"/>
        <v>60000</v>
      </c>
      <c r="K349" s="13" t="b">
        <f t="shared" si="45"/>
        <v>0</v>
      </c>
      <c r="L349" s="13" t="b">
        <f t="shared" si="46"/>
        <v>1</v>
      </c>
      <c r="M349" s="13" t="str">
        <f t="shared" si="47"/>
        <v>GET BONUS</v>
      </c>
      <c r="N349" s="13" t="str">
        <f t="shared" si="48"/>
        <v>NO BONUS</v>
      </c>
    </row>
    <row r="350" spans="1:14" x14ac:dyDescent="0.25">
      <c r="A350" s="13">
        <v>345</v>
      </c>
      <c r="B350" s="13">
        <v>48</v>
      </c>
      <c r="C350" s="13" t="str">
        <f t="shared" si="41"/>
        <v>Adult</v>
      </c>
      <c r="D350" s="13" t="s">
        <v>6</v>
      </c>
      <c r="E350" s="13" t="s">
        <v>10</v>
      </c>
      <c r="F350" s="13" t="s">
        <v>57</v>
      </c>
      <c r="G350" s="13">
        <v>19</v>
      </c>
      <c r="H350" s="13" t="str">
        <f t="shared" si="42"/>
        <v>Experienced</v>
      </c>
      <c r="I350" s="65" t="str">
        <f t="shared" si="43"/>
        <v>150000</v>
      </c>
      <c r="J350" s="43">
        <f t="shared" si="44"/>
        <v>45000</v>
      </c>
      <c r="K350" s="13" t="b">
        <f t="shared" si="45"/>
        <v>0</v>
      </c>
      <c r="L350" s="13" t="b">
        <f t="shared" si="46"/>
        <v>1</v>
      </c>
      <c r="M350" s="13" t="str">
        <f t="shared" si="47"/>
        <v>GET BONUS</v>
      </c>
      <c r="N350" s="13" t="str">
        <f t="shared" si="48"/>
        <v>NO BONUS</v>
      </c>
    </row>
    <row r="351" spans="1:14" x14ac:dyDescent="0.25">
      <c r="A351" s="13">
        <v>346</v>
      </c>
      <c r="B351" s="13">
        <v>48</v>
      </c>
      <c r="C351" s="13" t="str">
        <f t="shared" si="41"/>
        <v>Adult</v>
      </c>
      <c r="D351" s="13" t="s">
        <v>9</v>
      </c>
      <c r="E351" s="13" t="s">
        <v>10</v>
      </c>
      <c r="F351" s="13" t="s">
        <v>181</v>
      </c>
      <c r="G351" s="13">
        <v>20</v>
      </c>
      <c r="H351" s="13" t="str">
        <f t="shared" si="42"/>
        <v>Experienced</v>
      </c>
      <c r="I351" s="65" t="str">
        <f t="shared" si="43"/>
        <v>150000</v>
      </c>
      <c r="J351" s="43">
        <f t="shared" si="44"/>
        <v>45000</v>
      </c>
      <c r="K351" s="13" t="b">
        <f t="shared" si="45"/>
        <v>1</v>
      </c>
      <c r="L351" s="13" t="b">
        <f t="shared" si="46"/>
        <v>0</v>
      </c>
      <c r="M351" s="13" t="str">
        <f t="shared" si="47"/>
        <v>GET BONUS</v>
      </c>
      <c r="N351" s="13" t="str">
        <f t="shared" si="48"/>
        <v>GET BONUS</v>
      </c>
    </row>
    <row r="352" spans="1:14" x14ac:dyDescent="0.25">
      <c r="A352" s="13">
        <v>347</v>
      </c>
      <c r="B352" s="13">
        <v>48</v>
      </c>
      <c r="C352" s="13" t="str">
        <f t="shared" si="41"/>
        <v>Adult</v>
      </c>
      <c r="D352" s="13" t="s">
        <v>6</v>
      </c>
      <c r="E352" s="13" t="s">
        <v>10</v>
      </c>
      <c r="F352" s="13" t="s">
        <v>57</v>
      </c>
      <c r="G352" s="13">
        <v>21</v>
      </c>
      <c r="H352" s="13" t="str">
        <f t="shared" si="42"/>
        <v>Experienced</v>
      </c>
      <c r="I352" s="65" t="str">
        <f t="shared" si="43"/>
        <v>200000</v>
      </c>
      <c r="J352" s="43">
        <f t="shared" si="44"/>
        <v>60000</v>
      </c>
      <c r="K352" s="13" t="b">
        <f t="shared" si="45"/>
        <v>0</v>
      </c>
      <c r="L352" s="13" t="b">
        <f t="shared" si="46"/>
        <v>1</v>
      </c>
      <c r="M352" s="13" t="str">
        <f t="shared" si="47"/>
        <v>GET BONUS</v>
      </c>
      <c r="N352" s="13" t="str">
        <f t="shared" si="48"/>
        <v>NO BONUS</v>
      </c>
    </row>
    <row r="353" spans="1:14" x14ac:dyDescent="0.25">
      <c r="A353" s="13">
        <v>348</v>
      </c>
      <c r="B353" s="13">
        <v>48</v>
      </c>
      <c r="C353" s="13" t="str">
        <f t="shared" si="41"/>
        <v>Adult</v>
      </c>
      <c r="D353" s="13" t="s">
        <v>6</v>
      </c>
      <c r="E353" s="13" t="s">
        <v>10</v>
      </c>
      <c r="F353" s="13" t="s">
        <v>57</v>
      </c>
      <c r="G353" s="13">
        <v>21</v>
      </c>
      <c r="H353" s="13" t="str">
        <f t="shared" si="42"/>
        <v>Experienced</v>
      </c>
      <c r="I353" s="65" t="str">
        <f t="shared" si="43"/>
        <v>200000</v>
      </c>
      <c r="J353" s="43">
        <f t="shared" si="44"/>
        <v>60000</v>
      </c>
      <c r="K353" s="13" t="b">
        <f t="shared" si="45"/>
        <v>0</v>
      </c>
      <c r="L353" s="13" t="b">
        <f t="shared" si="46"/>
        <v>1</v>
      </c>
      <c r="M353" s="13" t="str">
        <f t="shared" si="47"/>
        <v>GET BONUS</v>
      </c>
      <c r="N353" s="13" t="str">
        <f t="shared" si="48"/>
        <v>NO BONUS</v>
      </c>
    </row>
    <row r="354" spans="1:14" x14ac:dyDescent="0.25">
      <c r="A354" s="13">
        <v>349</v>
      </c>
      <c r="B354" s="13">
        <v>49</v>
      </c>
      <c r="C354" s="13" t="str">
        <f t="shared" si="41"/>
        <v>Adult</v>
      </c>
      <c r="D354" s="13" t="s">
        <v>6</v>
      </c>
      <c r="E354" s="13" t="s">
        <v>7</v>
      </c>
      <c r="F354" s="13" t="s">
        <v>49</v>
      </c>
      <c r="G354" s="13">
        <v>21</v>
      </c>
      <c r="H354" s="13" t="str">
        <f t="shared" si="42"/>
        <v>Experienced</v>
      </c>
      <c r="I354" s="65" t="str">
        <f t="shared" si="43"/>
        <v>200000</v>
      </c>
      <c r="J354" s="43">
        <f t="shared" si="44"/>
        <v>60000</v>
      </c>
      <c r="K354" s="13" t="b">
        <f t="shared" si="45"/>
        <v>0</v>
      </c>
      <c r="L354" s="13" t="b">
        <f t="shared" si="46"/>
        <v>1</v>
      </c>
      <c r="M354" s="13" t="str">
        <f t="shared" si="47"/>
        <v>GET BONUS</v>
      </c>
      <c r="N354" s="13" t="str">
        <f t="shared" si="48"/>
        <v>NO BONUS</v>
      </c>
    </row>
    <row r="355" spans="1:14" x14ac:dyDescent="0.25">
      <c r="A355" s="13">
        <v>350</v>
      </c>
      <c r="B355" s="13">
        <v>49</v>
      </c>
      <c r="C355" s="13" t="str">
        <f t="shared" si="41"/>
        <v>Adult</v>
      </c>
      <c r="D355" s="13" t="s">
        <v>9</v>
      </c>
      <c r="E355" s="13" t="s">
        <v>10</v>
      </c>
      <c r="F355" s="13" t="s">
        <v>73</v>
      </c>
      <c r="G355" s="13">
        <v>18</v>
      </c>
      <c r="H355" s="13" t="str">
        <f t="shared" si="42"/>
        <v>Experienced</v>
      </c>
      <c r="I355" s="65" t="str">
        <f t="shared" si="43"/>
        <v>150000</v>
      </c>
      <c r="J355" s="43">
        <f t="shared" si="44"/>
        <v>45000</v>
      </c>
      <c r="K355" s="13" t="b">
        <f t="shared" si="45"/>
        <v>1</v>
      </c>
      <c r="L355" s="13" t="b">
        <f t="shared" si="46"/>
        <v>0</v>
      </c>
      <c r="M355" s="13" t="str">
        <f t="shared" si="47"/>
        <v>GET BONUS</v>
      </c>
      <c r="N355" s="13" t="str">
        <f t="shared" si="48"/>
        <v>GET BONUS</v>
      </c>
    </row>
    <row r="356" spans="1:14" x14ac:dyDescent="0.25">
      <c r="A356" s="13">
        <v>351</v>
      </c>
      <c r="B356" s="13">
        <v>49</v>
      </c>
      <c r="C356" s="13" t="str">
        <f t="shared" si="41"/>
        <v>Adult</v>
      </c>
      <c r="D356" s="13" t="s">
        <v>9</v>
      </c>
      <c r="E356" s="13" t="s">
        <v>10</v>
      </c>
      <c r="F356" s="13" t="s">
        <v>97</v>
      </c>
      <c r="G356" s="13">
        <v>19</v>
      </c>
      <c r="H356" s="13" t="str">
        <f t="shared" si="42"/>
        <v>Experienced</v>
      </c>
      <c r="I356" s="65" t="str">
        <f t="shared" si="43"/>
        <v>150000</v>
      </c>
      <c r="J356" s="43">
        <f t="shared" si="44"/>
        <v>45000</v>
      </c>
      <c r="K356" s="13" t="b">
        <f t="shared" si="45"/>
        <v>1</v>
      </c>
      <c r="L356" s="13" t="b">
        <f t="shared" si="46"/>
        <v>0</v>
      </c>
      <c r="M356" s="13" t="str">
        <f t="shared" si="47"/>
        <v>GET BONUS</v>
      </c>
      <c r="N356" s="13" t="str">
        <f t="shared" si="48"/>
        <v>GET BONUS</v>
      </c>
    </row>
    <row r="357" spans="1:14" x14ac:dyDescent="0.25">
      <c r="A357" s="13">
        <v>352</v>
      </c>
      <c r="B357" s="13">
        <v>49</v>
      </c>
      <c r="C357" s="13" t="str">
        <f t="shared" si="41"/>
        <v>Adult</v>
      </c>
      <c r="D357" s="13" t="s">
        <v>9</v>
      </c>
      <c r="E357" s="13" t="s">
        <v>10</v>
      </c>
      <c r="F357" s="13" t="s">
        <v>165</v>
      </c>
      <c r="G357" s="13">
        <v>21</v>
      </c>
      <c r="H357" s="13" t="str">
        <f t="shared" si="42"/>
        <v>Experienced</v>
      </c>
      <c r="I357" s="65" t="str">
        <f t="shared" si="43"/>
        <v>200000</v>
      </c>
      <c r="J357" s="43">
        <f t="shared" si="44"/>
        <v>60000</v>
      </c>
      <c r="K357" s="13" t="b">
        <f t="shared" si="45"/>
        <v>1</v>
      </c>
      <c r="L357" s="13" t="b">
        <f t="shared" si="46"/>
        <v>0</v>
      </c>
      <c r="M357" s="13" t="str">
        <f t="shared" si="47"/>
        <v>GET BONUS</v>
      </c>
      <c r="N357" s="13" t="str">
        <f t="shared" si="48"/>
        <v>GET BONUS</v>
      </c>
    </row>
    <row r="358" spans="1:14" x14ac:dyDescent="0.25">
      <c r="A358" s="13">
        <v>353</v>
      </c>
      <c r="B358" s="13">
        <v>49</v>
      </c>
      <c r="C358" s="13" t="str">
        <f t="shared" si="41"/>
        <v>Adult</v>
      </c>
      <c r="D358" s="13" t="s">
        <v>9</v>
      </c>
      <c r="E358" s="13" t="s">
        <v>10</v>
      </c>
      <c r="F358" s="13" t="s">
        <v>57</v>
      </c>
      <c r="G358" s="13">
        <v>21</v>
      </c>
      <c r="H358" s="13" t="str">
        <f t="shared" si="42"/>
        <v>Experienced</v>
      </c>
      <c r="I358" s="65" t="str">
        <f t="shared" si="43"/>
        <v>200000</v>
      </c>
      <c r="J358" s="43">
        <f t="shared" si="44"/>
        <v>60000</v>
      </c>
      <c r="K358" s="13" t="b">
        <f t="shared" si="45"/>
        <v>1</v>
      </c>
      <c r="L358" s="13" t="b">
        <f t="shared" si="46"/>
        <v>0</v>
      </c>
      <c r="M358" s="13" t="str">
        <f t="shared" si="47"/>
        <v>GET BONUS</v>
      </c>
      <c r="N358" s="13" t="str">
        <f t="shared" si="48"/>
        <v>GET BONUS</v>
      </c>
    </row>
    <row r="359" spans="1:14" x14ac:dyDescent="0.25">
      <c r="A359" s="13">
        <v>354</v>
      </c>
      <c r="B359" s="13">
        <v>49</v>
      </c>
      <c r="C359" s="13" t="str">
        <f t="shared" si="41"/>
        <v>Adult</v>
      </c>
      <c r="D359" s="13" t="s">
        <v>9</v>
      </c>
      <c r="E359" s="13" t="s">
        <v>10</v>
      </c>
      <c r="F359" s="13" t="s">
        <v>66</v>
      </c>
      <c r="G359" s="13">
        <v>21</v>
      </c>
      <c r="H359" s="13" t="str">
        <f t="shared" si="42"/>
        <v>Experienced</v>
      </c>
      <c r="I359" s="65" t="str">
        <f t="shared" si="43"/>
        <v>200000</v>
      </c>
      <c r="J359" s="43">
        <f t="shared" si="44"/>
        <v>60000</v>
      </c>
      <c r="K359" s="13" t="b">
        <f t="shared" si="45"/>
        <v>1</v>
      </c>
      <c r="L359" s="13" t="b">
        <f t="shared" si="46"/>
        <v>0</v>
      </c>
      <c r="M359" s="13" t="str">
        <f t="shared" si="47"/>
        <v>GET BONUS</v>
      </c>
      <c r="N359" s="13" t="str">
        <f t="shared" si="48"/>
        <v>GET BONUS</v>
      </c>
    </row>
    <row r="360" spans="1:14" x14ac:dyDescent="0.25">
      <c r="A360" s="13">
        <v>355</v>
      </c>
      <c r="B360" s="13">
        <v>49</v>
      </c>
      <c r="C360" s="13" t="str">
        <f t="shared" si="41"/>
        <v>Adult</v>
      </c>
      <c r="D360" s="13" t="s">
        <v>6</v>
      </c>
      <c r="E360" s="13" t="s">
        <v>12</v>
      </c>
      <c r="F360" s="13" t="s">
        <v>66</v>
      </c>
      <c r="G360" s="13">
        <v>21</v>
      </c>
      <c r="H360" s="13" t="str">
        <f t="shared" si="42"/>
        <v>Experienced</v>
      </c>
      <c r="I360" s="65" t="str">
        <f t="shared" si="43"/>
        <v>200000</v>
      </c>
      <c r="J360" s="43">
        <f t="shared" si="44"/>
        <v>60000</v>
      </c>
      <c r="K360" s="13" t="b">
        <f t="shared" si="45"/>
        <v>0</v>
      </c>
      <c r="L360" s="13" t="b">
        <f t="shared" si="46"/>
        <v>1</v>
      </c>
      <c r="M360" s="13" t="str">
        <f t="shared" si="47"/>
        <v>GET BONUS</v>
      </c>
      <c r="N360" s="13" t="str">
        <f t="shared" si="48"/>
        <v>NO BONUS</v>
      </c>
    </row>
    <row r="361" spans="1:14" x14ac:dyDescent="0.25">
      <c r="A361" s="13">
        <v>356</v>
      </c>
      <c r="B361" s="13">
        <v>49</v>
      </c>
      <c r="C361" s="13" t="str">
        <f t="shared" si="41"/>
        <v>Adult</v>
      </c>
      <c r="D361" s="13" t="s">
        <v>9</v>
      </c>
      <c r="E361" s="13" t="s">
        <v>10</v>
      </c>
      <c r="F361" s="13" t="s">
        <v>57</v>
      </c>
      <c r="G361" s="13">
        <v>21</v>
      </c>
      <c r="H361" s="13" t="str">
        <f t="shared" si="42"/>
        <v>Experienced</v>
      </c>
      <c r="I361" s="65" t="str">
        <f t="shared" si="43"/>
        <v>200000</v>
      </c>
      <c r="J361" s="43">
        <f t="shared" si="44"/>
        <v>60000</v>
      </c>
      <c r="K361" s="13" t="b">
        <f t="shared" si="45"/>
        <v>1</v>
      </c>
      <c r="L361" s="13" t="b">
        <f t="shared" si="46"/>
        <v>0</v>
      </c>
      <c r="M361" s="13" t="str">
        <f t="shared" si="47"/>
        <v>GET BONUS</v>
      </c>
      <c r="N361" s="13" t="str">
        <f t="shared" si="48"/>
        <v>GET BONUS</v>
      </c>
    </row>
    <row r="362" spans="1:14" x14ac:dyDescent="0.25">
      <c r="A362" s="13">
        <v>357</v>
      </c>
      <c r="B362" s="13">
        <v>50</v>
      </c>
      <c r="C362" s="13" t="str">
        <f t="shared" si="41"/>
        <v>Senior</v>
      </c>
      <c r="D362" s="13" t="s">
        <v>6</v>
      </c>
      <c r="E362" s="13" t="s">
        <v>7</v>
      </c>
      <c r="F362" s="13" t="s">
        <v>41</v>
      </c>
      <c r="G362" s="13">
        <v>25</v>
      </c>
      <c r="H362" s="13" t="str">
        <f t="shared" si="42"/>
        <v>Experienced</v>
      </c>
      <c r="I362" s="65" t="str">
        <f t="shared" si="43"/>
        <v>200000</v>
      </c>
      <c r="J362" s="43">
        <f t="shared" si="44"/>
        <v>60000</v>
      </c>
      <c r="K362" s="13" t="b">
        <f t="shared" si="45"/>
        <v>0</v>
      </c>
      <c r="L362" s="13" t="b">
        <f t="shared" si="46"/>
        <v>0</v>
      </c>
      <c r="M362" s="13" t="str">
        <f t="shared" si="47"/>
        <v>GET BONUS</v>
      </c>
      <c r="N362" s="13" t="str">
        <f t="shared" si="48"/>
        <v>NO BONUS</v>
      </c>
    </row>
    <row r="363" spans="1:14" x14ac:dyDescent="0.25">
      <c r="A363" s="13">
        <v>358</v>
      </c>
      <c r="B363" s="13">
        <v>50</v>
      </c>
      <c r="C363" s="13" t="str">
        <f t="shared" si="41"/>
        <v>Senior</v>
      </c>
      <c r="D363" s="13" t="s">
        <v>9</v>
      </c>
      <c r="E363" s="13" t="s">
        <v>7</v>
      </c>
      <c r="F363" s="13" t="s">
        <v>26</v>
      </c>
      <c r="G363" s="13">
        <v>22</v>
      </c>
      <c r="H363" s="13" t="str">
        <f t="shared" si="42"/>
        <v>Experienced</v>
      </c>
      <c r="I363" s="65" t="str">
        <f t="shared" si="43"/>
        <v>200000</v>
      </c>
      <c r="J363" s="43">
        <f t="shared" si="44"/>
        <v>60000</v>
      </c>
      <c r="K363" s="13" t="b">
        <f t="shared" si="45"/>
        <v>1</v>
      </c>
      <c r="L363" s="13" t="b">
        <f t="shared" si="46"/>
        <v>0</v>
      </c>
      <c r="M363" s="13" t="str">
        <f t="shared" si="47"/>
        <v>GET BONUS</v>
      </c>
      <c r="N363" s="13" t="str">
        <f t="shared" si="48"/>
        <v>NO BONUS</v>
      </c>
    </row>
    <row r="364" spans="1:14" x14ac:dyDescent="0.25">
      <c r="A364" s="13">
        <v>359</v>
      </c>
      <c r="B364" s="13">
        <v>50</v>
      </c>
      <c r="C364" s="13" t="str">
        <f t="shared" si="41"/>
        <v>Senior</v>
      </c>
      <c r="D364" s="13" t="s">
        <v>9</v>
      </c>
      <c r="E364" s="13" t="s">
        <v>7</v>
      </c>
      <c r="F364" s="13" t="s">
        <v>107</v>
      </c>
      <c r="G364" s="13">
        <v>22</v>
      </c>
      <c r="H364" s="13" t="str">
        <f t="shared" si="42"/>
        <v>Experienced</v>
      </c>
      <c r="I364" s="65" t="str">
        <f t="shared" si="43"/>
        <v>200000</v>
      </c>
      <c r="J364" s="43">
        <f t="shared" si="44"/>
        <v>60000</v>
      </c>
      <c r="K364" s="13" t="b">
        <f t="shared" si="45"/>
        <v>1</v>
      </c>
      <c r="L364" s="13" t="b">
        <f t="shared" si="46"/>
        <v>0</v>
      </c>
      <c r="M364" s="13" t="str">
        <f t="shared" si="47"/>
        <v>GET BONUS</v>
      </c>
      <c r="N364" s="13" t="str">
        <f t="shared" si="48"/>
        <v>NO BONUS</v>
      </c>
    </row>
    <row r="365" spans="1:14" x14ac:dyDescent="0.25">
      <c r="A365" s="13">
        <v>360</v>
      </c>
      <c r="B365" s="13">
        <v>50</v>
      </c>
      <c r="C365" s="13" t="str">
        <f t="shared" si="41"/>
        <v>Senior</v>
      </c>
      <c r="D365" s="13" t="s">
        <v>9</v>
      </c>
      <c r="E365" s="13" t="s">
        <v>10</v>
      </c>
      <c r="F365" s="13" t="s">
        <v>66</v>
      </c>
      <c r="G365" s="13">
        <v>21</v>
      </c>
      <c r="H365" s="13" t="str">
        <f t="shared" si="42"/>
        <v>Experienced</v>
      </c>
      <c r="I365" s="65" t="str">
        <f t="shared" si="43"/>
        <v>200000</v>
      </c>
      <c r="J365" s="43">
        <f t="shared" si="44"/>
        <v>60000</v>
      </c>
      <c r="K365" s="13" t="b">
        <f t="shared" si="45"/>
        <v>1</v>
      </c>
      <c r="L365" s="13" t="b">
        <f t="shared" si="46"/>
        <v>0</v>
      </c>
      <c r="M365" s="13" t="str">
        <f t="shared" si="47"/>
        <v>GET BONUS</v>
      </c>
      <c r="N365" s="13" t="str">
        <f t="shared" si="48"/>
        <v>GET BONUS</v>
      </c>
    </row>
    <row r="366" spans="1:14" x14ac:dyDescent="0.25">
      <c r="A366" s="13">
        <v>361</v>
      </c>
      <c r="B366" s="13">
        <v>50</v>
      </c>
      <c r="C366" s="13" t="str">
        <f t="shared" si="41"/>
        <v>Senior</v>
      </c>
      <c r="D366" s="13" t="s">
        <v>9</v>
      </c>
      <c r="E366" s="13" t="s">
        <v>10</v>
      </c>
      <c r="F366" s="13" t="s">
        <v>149</v>
      </c>
      <c r="G366" s="13">
        <v>20</v>
      </c>
      <c r="H366" s="13" t="str">
        <f t="shared" si="42"/>
        <v>Experienced</v>
      </c>
      <c r="I366" s="65" t="str">
        <f t="shared" si="43"/>
        <v>150000</v>
      </c>
      <c r="J366" s="43">
        <f t="shared" si="44"/>
        <v>45000</v>
      </c>
      <c r="K366" s="13" t="b">
        <f t="shared" si="45"/>
        <v>1</v>
      </c>
      <c r="L366" s="13" t="b">
        <f t="shared" si="46"/>
        <v>0</v>
      </c>
      <c r="M366" s="13" t="str">
        <f t="shared" si="47"/>
        <v>GET BONUS</v>
      </c>
      <c r="N366" s="13" t="str">
        <f t="shared" si="48"/>
        <v>GET BONUS</v>
      </c>
    </row>
    <row r="367" spans="1:14" x14ac:dyDescent="0.25">
      <c r="A367" s="13">
        <v>362</v>
      </c>
      <c r="B367" s="13">
        <v>50</v>
      </c>
      <c r="C367" s="13" t="str">
        <f t="shared" si="41"/>
        <v>Senior</v>
      </c>
      <c r="D367" s="13" t="s">
        <v>9</v>
      </c>
      <c r="E367" s="13" t="s">
        <v>12</v>
      </c>
      <c r="F367" s="13" t="s">
        <v>159</v>
      </c>
      <c r="G367" s="13">
        <v>22</v>
      </c>
      <c r="H367" s="13" t="str">
        <f t="shared" si="42"/>
        <v>Experienced</v>
      </c>
      <c r="I367" s="65" t="str">
        <f t="shared" si="43"/>
        <v>200000</v>
      </c>
      <c r="J367" s="43">
        <f t="shared" si="44"/>
        <v>60000</v>
      </c>
      <c r="K367" s="13" t="b">
        <f t="shared" si="45"/>
        <v>1</v>
      </c>
      <c r="L367" s="13" t="b">
        <f t="shared" si="46"/>
        <v>0</v>
      </c>
      <c r="M367" s="13" t="str">
        <f t="shared" si="47"/>
        <v>GET BONUS</v>
      </c>
      <c r="N367" s="13" t="str">
        <f t="shared" si="48"/>
        <v>NO BONUS</v>
      </c>
    </row>
    <row r="368" spans="1:14" x14ac:dyDescent="0.25">
      <c r="A368" s="13">
        <v>363</v>
      </c>
      <c r="B368" s="13">
        <v>50</v>
      </c>
      <c r="C368" s="13" t="str">
        <f t="shared" si="41"/>
        <v>Senior</v>
      </c>
      <c r="D368" s="13" t="s">
        <v>9</v>
      </c>
      <c r="E368" s="13" t="s">
        <v>12</v>
      </c>
      <c r="F368" s="13" t="s">
        <v>66</v>
      </c>
      <c r="G368" s="13">
        <v>22</v>
      </c>
      <c r="H368" s="13" t="str">
        <f t="shared" si="42"/>
        <v>Experienced</v>
      </c>
      <c r="I368" s="65" t="str">
        <f t="shared" si="43"/>
        <v>200000</v>
      </c>
      <c r="J368" s="43">
        <f t="shared" si="44"/>
        <v>60000</v>
      </c>
      <c r="K368" s="13" t="b">
        <f t="shared" si="45"/>
        <v>1</v>
      </c>
      <c r="L368" s="13" t="b">
        <f t="shared" si="46"/>
        <v>0</v>
      </c>
      <c r="M368" s="13" t="str">
        <f t="shared" si="47"/>
        <v>GET BONUS</v>
      </c>
      <c r="N368" s="13" t="str">
        <f t="shared" si="48"/>
        <v>NO BONUS</v>
      </c>
    </row>
    <row r="369" spans="1:14" x14ac:dyDescent="0.25">
      <c r="A369" s="13">
        <v>364</v>
      </c>
      <c r="B369" s="13">
        <v>50</v>
      </c>
      <c r="C369" s="13" t="str">
        <f t="shared" si="41"/>
        <v>Senior</v>
      </c>
      <c r="D369" s="13" t="s">
        <v>9</v>
      </c>
      <c r="E369" s="13" t="s">
        <v>12</v>
      </c>
      <c r="F369" s="13" t="s">
        <v>66</v>
      </c>
      <c r="G369" s="13">
        <v>22</v>
      </c>
      <c r="H369" s="13" t="str">
        <f t="shared" si="42"/>
        <v>Experienced</v>
      </c>
      <c r="I369" s="65" t="str">
        <f t="shared" si="43"/>
        <v>200000</v>
      </c>
      <c r="J369" s="43">
        <f t="shared" si="44"/>
        <v>60000</v>
      </c>
      <c r="K369" s="13" t="b">
        <f t="shared" si="45"/>
        <v>1</v>
      </c>
      <c r="L369" s="13" t="b">
        <f t="shared" si="46"/>
        <v>0</v>
      </c>
      <c r="M369" s="13" t="str">
        <f t="shared" si="47"/>
        <v>GET BONUS</v>
      </c>
      <c r="N369" s="13" t="str">
        <f t="shared" si="48"/>
        <v>NO BONUS</v>
      </c>
    </row>
    <row r="370" spans="1:14" x14ac:dyDescent="0.25">
      <c r="A370" s="13">
        <v>365</v>
      </c>
      <c r="B370" s="13">
        <v>51</v>
      </c>
      <c r="C370" s="13" t="str">
        <f t="shared" si="41"/>
        <v>Senior</v>
      </c>
      <c r="D370" s="13" t="s">
        <v>6</v>
      </c>
      <c r="E370" s="13" t="s">
        <v>7</v>
      </c>
      <c r="F370" s="13" t="s">
        <v>30</v>
      </c>
      <c r="G370" s="13">
        <v>22</v>
      </c>
      <c r="H370" s="13" t="str">
        <f t="shared" si="42"/>
        <v>Experienced</v>
      </c>
      <c r="I370" s="65" t="str">
        <f t="shared" si="43"/>
        <v>200000</v>
      </c>
      <c r="J370" s="43">
        <f t="shared" si="44"/>
        <v>60000</v>
      </c>
      <c r="K370" s="13" t="b">
        <f t="shared" si="45"/>
        <v>0</v>
      </c>
      <c r="L370" s="13" t="b">
        <f t="shared" si="46"/>
        <v>0</v>
      </c>
      <c r="M370" s="13" t="str">
        <f t="shared" si="47"/>
        <v>GET BONUS</v>
      </c>
      <c r="N370" s="13" t="str">
        <f t="shared" si="48"/>
        <v>NO BONUS</v>
      </c>
    </row>
    <row r="371" spans="1:14" x14ac:dyDescent="0.25">
      <c r="A371" s="13">
        <v>366</v>
      </c>
      <c r="B371" s="13">
        <v>51</v>
      </c>
      <c r="C371" s="13" t="str">
        <f t="shared" si="41"/>
        <v>Senior</v>
      </c>
      <c r="D371" s="13" t="s">
        <v>9</v>
      </c>
      <c r="E371" s="13" t="s">
        <v>7</v>
      </c>
      <c r="F371" s="13" t="s">
        <v>59</v>
      </c>
      <c r="G371" s="13">
        <v>22</v>
      </c>
      <c r="H371" s="13" t="str">
        <f t="shared" si="42"/>
        <v>Experienced</v>
      </c>
      <c r="I371" s="65" t="str">
        <f t="shared" si="43"/>
        <v>200000</v>
      </c>
      <c r="J371" s="43">
        <f t="shared" si="44"/>
        <v>60000</v>
      </c>
      <c r="K371" s="13" t="b">
        <f t="shared" si="45"/>
        <v>1</v>
      </c>
      <c r="L371" s="13" t="b">
        <f t="shared" si="46"/>
        <v>0</v>
      </c>
      <c r="M371" s="13" t="str">
        <f t="shared" si="47"/>
        <v>GET BONUS</v>
      </c>
      <c r="N371" s="13" t="str">
        <f t="shared" si="48"/>
        <v>NO BONUS</v>
      </c>
    </row>
    <row r="372" spans="1:14" x14ac:dyDescent="0.25">
      <c r="A372" s="13">
        <v>367</v>
      </c>
      <c r="B372" s="13">
        <v>51</v>
      </c>
      <c r="C372" s="13" t="str">
        <f t="shared" si="41"/>
        <v>Senior</v>
      </c>
      <c r="D372" s="13" t="s">
        <v>9</v>
      </c>
      <c r="E372" s="13" t="s">
        <v>10</v>
      </c>
      <c r="F372" s="13" t="s">
        <v>66</v>
      </c>
      <c r="G372" s="13">
        <v>23</v>
      </c>
      <c r="H372" s="13" t="str">
        <f t="shared" si="42"/>
        <v>Experienced</v>
      </c>
      <c r="I372" s="65" t="str">
        <f t="shared" si="43"/>
        <v>200000</v>
      </c>
      <c r="J372" s="43">
        <f t="shared" si="44"/>
        <v>60000</v>
      </c>
      <c r="K372" s="13" t="b">
        <f t="shared" si="45"/>
        <v>1</v>
      </c>
      <c r="L372" s="13" t="b">
        <f t="shared" si="46"/>
        <v>0</v>
      </c>
      <c r="M372" s="13" t="str">
        <f t="shared" si="47"/>
        <v>GET BONUS</v>
      </c>
      <c r="N372" s="13" t="str">
        <f t="shared" si="48"/>
        <v>GET BONUS</v>
      </c>
    </row>
    <row r="373" spans="1:14" x14ac:dyDescent="0.25">
      <c r="A373" s="13">
        <v>368</v>
      </c>
      <c r="B373" s="13">
        <v>51</v>
      </c>
      <c r="C373" s="13" t="str">
        <f t="shared" si="41"/>
        <v>Senior</v>
      </c>
      <c r="D373" s="13" t="s">
        <v>9</v>
      </c>
      <c r="E373" s="13" t="s">
        <v>12</v>
      </c>
      <c r="F373" s="13" t="s">
        <v>138</v>
      </c>
      <c r="G373" s="13">
        <v>23</v>
      </c>
      <c r="H373" s="13" t="str">
        <f t="shared" si="42"/>
        <v>Experienced</v>
      </c>
      <c r="I373" s="65" t="str">
        <f t="shared" si="43"/>
        <v>200000</v>
      </c>
      <c r="J373" s="43">
        <f t="shared" si="44"/>
        <v>60000</v>
      </c>
      <c r="K373" s="13" t="b">
        <f t="shared" si="45"/>
        <v>1</v>
      </c>
      <c r="L373" s="13" t="b">
        <f t="shared" si="46"/>
        <v>0</v>
      </c>
      <c r="M373" s="13" t="str">
        <f t="shared" si="47"/>
        <v>GET BONUS</v>
      </c>
      <c r="N373" s="13" t="str">
        <f t="shared" si="48"/>
        <v>NO BONUS</v>
      </c>
    </row>
    <row r="374" spans="1:14" x14ac:dyDescent="0.25">
      <c r="A374" s="13">
        <v>369</v>
      </c>
      <c r="B374" s="13">
        <v>51</v>
      </c>
      <c r="C374" s="13" t="str">
        <f t="shared" si="41"/>
        <v>Senior</v>
      </c>
      <c r="D374" s="13" t="s">
        <v>9</v>
      </c>
      <c r="E374" s="13" t="s">
        <v>10</v>
      </c>
      <c r="F374" s="13" t="s">
        <v>138</v>
      </c>
      <c r="G374" s="13">
        <v>21</v>
      </c>
      <c r="H374" s="13" t="str">
        <f t="shared" si="42"/>
        <v>Experienced</v>
      </c>
      <c r="I374" s="65" t="str">
        <f t="shared" si="43"/>
        <v>200000</v>
      </c>
      <c r="J374" s="43">
        <f t="shared" si="44"/>
        <v>60000</v>
      </c>
      <c r="K374" s="13" t="b">
        <f t="shared" si="45"/>
        <v>1</v>
      </c>
      <c r="L374" s="13" t="b">
        <f t="shared" si="46"/>
        <v>0</v>
      </c>
      <c r="M374" s="13" t="str">
        <f t="shared" si="47"/>
        <v>GET BONUS</v>
      </c>
      <c r="N374" s="13" t="str">
        <f t="shared" si="48"/>
        <v>GET BONUS</v>
      </c>
    </row>
    <row r="375" spans="1:14" x14ac:dyDescent="0.25">
      <c r="A375" s="13">
        <v>370</v>
      </c>
      <c r="B375" s="13">
        <v>52</v>
      </c>
      <c r="C375" s="13" t="str">
        <f t="shared" si="41"/>
        <v>Senior</v>
      </c>
      <c r="D375" s="13" t="s">
        <v>6</v>
      </c>
      <c r="E375" s="13" t="s">
        <v>10</v>
      </c>
      <c r="F375" s="13" t="s">
        <v>15</v>
      </c>
      <c r="G375" s="13">
        <v>20</v>
      </c>
      <c r="H375" s="13" t="str">
        <f t="shared" si="42"/>
        <v>Experienced</v>
      </c>
      <c r="I375" s="65" t="str">
        <f t="shared" si="43"/>
        <v>150000</v>
      </c>
      <c r="J375" s="43">
        <f t="shared" si="44"/>
        <v>45000</v>
      </c>
      <c r="K375" s="13" t="b">
        <f t="shared" si="45"/>
        <v>0</v>
      </c>
      <c r="L375" s="13" t="b">
        <f t="shared" si="46"/>
        <v>0</v>
      </c>
      <c r="M375" s="13" t="str">
        <f t="shared" si="47"/>
        <v>GET BONUS</v>
      </c>
      <c r="N375" s="13" t="str">
        <f t="shared" si="48"/>
        <v>NO BONUS</v>
      </c>
    </row>
    <row r="376" spans="1:14" x14ac:dyDescent="0.25">
      <c r="A376" s="13">
        <v>371</v>
      </c>
      <c r="B376" s="13">
        <v>52</v>
      </c>
      <c r="C376" s="13" t="str">
        <f t="shared" si="41"/>
        <v>Senior</v>
      </c>
      <c r="D376" s="13" t="s">
        <v>6</v>
      </c>
      <c r="E376" s="13" t="s">
        <v>12</v>
      </c>
      <c r="F376" s="13" t="s">
        <v>83</v>
      </c>
      <c r="G376" s="13">
        <v>24</v>
      </c>
      <c r="H376" s="13" t="str">
        <f t="shared" si="42"/>
        <v>Experienced</v>
      </c>
      <c r="I376" s="65" t="str">
        <f t="shared" si="43"/>
        <v>200000</v>
      </c>
      <c r="J376" s="43">
        <f t="shared" si="44"/>
        <v>60000</v>
      </c>
      <c r="K376" s="13" t="b">
        <f t="shared" si="45"/>
        <v>0</v>
      </c>
      <c r="L376" s="13" t="b">
        <f t="shared" si="46"/>
        <v>0</v>
      </c>
      <c r="M376" s="13" t="str">
        <f t="shared" si="47"/>
        <v>GET BONUS</v>
      </c>
      <c r="N376" s="13" t="str">
        <f t="shared" si="48"/>
        <v>NO BONUS</v>
      </c>
    </row>
    <row r="377" spans="1:14" x14ac:dyDescent="0.25">
      <c r="A377" s="13">
        <v>372</v>
      </c>
      <c r="B377" s="13">
        <v>52</v>
      </c>
      <c r="C377" s="13" t="str">
        <f t="shared" si="41"/>
        <v>Senior</v>
      </c>
      <c r="D377" s="13" t="s">
        <v>9</v>
      </c>
      <c r="E377" s="13" t="s">
        <v>10</v>
      </c>
      <c r="F377" s="13" t="s">
        <v>90</v>
      </c>
      <c r="G377" s="13">
        <v>25</v>
      </c>
      <c r="H377" s="13" t="str">
        <f t="shared" si="42"/>
        <v>Experienced</v>
      </c>
      <c r="I377" s="65" t="str">
        <f t="shared" si="43"/>
        <v>200000</v>
      </c>
      <c r="J377" s="43">
        <f t="shared" si="44"/>
        <v>60000</v>
      </c>
      <c r="K377" s="13" t="b">
        <f t="shared" si="45"/>
        <v>1</v>
      </c>
      <c r="L377" s="13" t="b">
        <f t="shared" si="46"/>
        <v>0</v>
      </c>
      <c r="M377" s="13" t="str">
        <f t="shared" si="47"/>
        <v>GET BONUS</v>
      </c>
      <c r="N377" s="13" t="str">
        <f t="shared" si="48"/>
        <v>GET BONUS</v>
      </c>
    </row>
    <row r="378" spans="1:14" x14ac:dyDescent="0.25">
      <c r="A378" s="13">
        <v>373</v>
      </c>
      <c r="B378" s="13">
        <v>53</v>
      </c>
      <c r="C378" s="13" t="str">
        <f t="shared" si="41"/>
        <v>Senior</v>
      </c>
      <c r="D378" s="13" t="s">
        <v>6</v>
      </c>
      <c r="E378" s="13" t="s">
        <v>10</v>
      </c>
      <c r="F378" s="13" t="s">
        <v>57</v>
      </c>
      <c r="G378" s="13">
        <v>25</v>
      </c>
      <c r="H378" s="13" t="str">
        <f t="shared" si="42"/>
        <v>Experienced</v>
      </c>
      <c r="I378" s="65" t="str">
        <f t="shared" si="43"/>
        <v>200000</v>
      </c>
      <c r="J378" s="43">
        <f t="shared" si="44"/>
        <v>60000</v>
      </c>
      <c r="K378" s="13" t="b">
        <f t="shared" si="45"/>
        <v>0</v>
      </c>
      <c r="L378" s="13" t="b">
        <f t="shared" si="46"/>
        <v>0</v>
      </c>
      <c r="M378" s="13" t="str">
        <f t="shared" si="47"/>
        <v>GET BONUS</v>
      </c>
      <c r="N378" s="13" t="str">
        <f t="shared" si="48"/>
        <v>NO BONUS</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EFB62-5D8C-4063-9D50-CAAF38009773}">
  <dimension ref="A2:G9"/>
  <sheetViews>
    <sheetView workbookViewId="0">
      <selection activeCell="D9" sqref="D9"/>
    </sheetView>
  </sheetViews>
  <sheetFormatPr defaultRowHeight="15" x14ac:dyDescent="0.25"/>
  <cols>
    <col min="1" max="3" width="15.42578125" customWidth="1"/>
    <col min="4" max="4" width="12.28515625" bestFit="1" customWidth="1"/>
    <col min="5" max="5" width="12.42578125" bestFit="1" customWidth="1"/>
    <col min="6" max="6" width="22.28515625" customWidth="1"/>
    <col min="7" max="7" width="16.140625" bestFit="1" customWidth="1"/>
  </cols>
  <sheetData>
    <row r="2" spans="1:7" s="78" customFormat="1" ht="21" x14ac:dyDescent="0.35">
      <c r="E2" s="78" t="s">
        <v>287</v>
      </c>
    </row>
    <row r="4" spans="1:7" ht="38.25" customHeight="1" x14ac:dyDescent="0.25">
      <c r="C4" s="90" t="s">
        <v>320</v>
      </c>
      <c r="D4" s="91" t="s">
        <v>276</v>
      </c>
      <c r="E4" s="90" t="s">
        <v>277</v>
      </c>
      <c r="F4" s="92" t="s">
        <v>286</v>
      </c>
      <c r="G4" s="90" t="s">
        <v>321</v>
      </c>
    </row>
    <row r="5" spans="1:7" ht="15.75" x14ac:dyDescent="0.25">
      <c r="A5" s="42" t="s">
        <v>281</v>
      </c>
      <c r="D5" s="89" t="s">
        <v>273</v>
      </c>
      <c r="E5" s="89" t="s">
        <v>274</v>
      </c>
      <c r="F5" s="89" t="s">
        <v>228</v>
      </c>
      <c r="G5" s="89" t="s">
        <v>275</v>
      </c>
    </row>
    <row r="6" spans="1:7" x14ac:dyDescent="0.25">
      <c r="A6" s="13" t="s">
        <v>282</v>
      </c>
      <c r="D6" s="11">
        <v>10</v>
      </c>
      <c r="E6" s="11" t="s">
        <v>278</v>
      </c>
      <c r="F6" s="84">
        <v>43992</v>
      </c>
      <c r="G6" s="11" t="s">
        <v>282</v>
      </c>
    </row>
    <row r="7" spans="1:7" x14ac:dyDescent="0.25">
      <c r="A7" s="13" t="s">
        <v>283</v>
      </c>
      <c r="D7" s="11">
        <v>12</v>
      </c>
      <c r="E7" s="11" t="s">
        <v>279</v>
      </c>
      <c r="F7" s="84">
        <v>43971</v>
      </c>
      <c r="G7" s="11" t="s">
        <v>284</v>
      </c>
    </row>
    <row r="8" spans="1:7" x14ac:dyDescent="0.25">
      <c r="A8" s="13" t="s">
        <v>284</v>
      </c>
      <c r="D8" s="11">
        <v>13</v>
      </c>
      <c r="E8" s="11" t="s">
        <v>280</v>
      </c>
      <c r="F8" s="84">
        <v>44042</v>
      </c>
      <c r="G8" s="11" t="s">
        <v>285</v>
      </c>
    </row>
    <row r="9" spans="1:7" x14ac:dyDescent="0.25">
      <c r="A9" s="13" t="s">
        <v>285</v>
      </c>
      <c r="D9" s="11"/>
      <c r="E9" s="11"/>
      <c r="F9" s="11"/>
      <c r="G9" s="11"/>
    </row>
  </sheetData>
  <dataValidations count="4">
    <dataValidation type="whole" allowBlank="1" showInputMessage="1" showErrorMessage="1" sqref="D6:D14" xr:uid="{C89617EC-9924-4D21-8A7C-3EF2835CBAFA}">
      <formula1>10</formula1>
      <formula2>20</formula2>
    </dataValidation>
    <dataValidation type="textLength" allowBlank="1" showInputMessage="1" showErrorMessage="1" sqref="E6:E9" xr:uid="{C3A0A2AF-335F-43FE-8B67-48A849B4FF8F}">
      <formula1>2</formula1>
      <formula2>5</formula2>
    </dataValidation>
    <dataValidation type="date" allowBlank="1" showInputMessage="1" showErrorMessage="1" sqref="F6:F9" xr:uid="{04D0183B-EE78-4622-957E-A729D96BAE2D}">
      <formula1>43831</formula1>
      <formula2>44197</formula2>
    </dataValidation>
    <dataValidation type="list" allowBlank="1" showInputMessage="1" showErrorMessage="1" sqref="G6:G9" xr:uid="{D28E5A11-9ED2-481E-B217-E163BE4F6FBB}">
      <formula1>$A$6:$A$9</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D857B-9CDB-416D-8A56-30BC7CD41DA6}">
  <dimension ref="E7:N7"/>
  <sheetViews>
    <sheetView workbookViewId="0">
      <selection activeCell="M12" sqref="M12"/>
    </sheetView>
  </sheetViews>
  <sheetFormatPr defaultRowHeight="15" x14ac:dyDescent="0.25"/>
  <sheetData>
    <row r="7" spans="5:14" ht="92.25" x14ac:dyDescent="1.35">
      <c r="E7" s="76" t="s">
        <v>312</v>
      </c>
      <c r="F7" s="76"/>
      <c r="G7" s="77"/>
      <c r="H7" s="77"/>
      <c r="I7" s="77"/>
      <c r="J7" s="77"/>
      <c r="K7" s="77"/>
      <c r="L7" s="77"/>
      <c r="M7" s="77"/>
      <c r="N7" s="77"/>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549E3-65A6-4A6A-ADE0-11FD59516108}">
  <dimension ref="A1:H7"/>
  <sheetViews>
    <sheetView workbookViewId="0">
      <selection activeCell="G10" sqref="G10"/>
    </sheetView>
  </sheetViews>
  <sheetFormatPr defaultRowHeight="15" x14ac:dyDescent="0.25"/>
  <cols>
    <col min="1" max="1" width="10.85546875" bestFit="1" customWidth="1"/>
    <col min="3" max="3" width="10.7109375" customWidth="1"/>
    <col min="4" max="4" width="9.42578125" customWidth="1"/>
    <col min="6" max="6" width="15" customWidth="1"/>
    <col min="7" max="7" width="19.28515625" customWidth="1"/>
    <col min="8" max="8" width="15.42578125" customWidth="1"/>
  </cols>
  <sheetData>
    <row r="1" spans="1:8" ht="15.75" thickBot="1" x14ac:dyDescent="0.3"/>
    <row r="2" spans="1:8" ht="24" thickBot="1" x14ac:dyDescent="0.4">
      <c r="A2" s="112"/>
      <c r="B2" s="113"/>
      <c r="C2" s="113"/>
      <c r="D2" s="115" t="s">
        <v>334</v>
      </c>
      <c r="E2" s="115"/>
      <c r="F2" s="115"/>
      <c r="G2" s="113"/>
      <c r="H2" s="114"/>
    </row>
    <row r="3" spans="1:8" ht="15.75" thickBot="1" x14ac:dyDescent="0.3">
      <c r="A3" s="96" t="s">
        <v>201</v>
      </c>
      <c r="B3" s="97" t="s">
        <v>327</v>
      </c>
      <c r="C3" s="98" t="s">
        <v>326</v>
      </c>
      <c r="D3" s="98" t="s">
        <v>328</v>
      </c>
      <c r="E3" s="98" t="s">
        <v>331</v>
      </c>
      <c r="F3" s="98" t="s">
        <v>329</v>
      </c>
      <c r="G3" s="98" t="s">
        <v>332</v>
      </c>
      <c r="H3" s="99" t="s">
        <v>333</v>
      </c>
    </row>
    <row r="4" spans="1:8" x14ac:dyDescent="0.25">
      <c r="A4" s="100" t="s">
        <v>323</v>
      </c>
      <c r="B4" s="103">
        <v>67</v>
      </c>
      <c r="C4" s="104">
        <v>99</v>
      </c>
      <c r="D4" s="104">
        <v>77</v>
      </c>
      <c r="E4" s="104">
        <v>95</v>
      </c>
      <c r="F4" s="104">
        <v>400</v>
      </c>
      <c r="G4" s="104">
        <f>B4+C4+D4+E4</f>
        <v>338</v>
      </c>
      <c r="H4" s="105">
        <f>G4/F4</f>
        <v>0.84499999999999997</v>
      </c>
    </row>
    <row r="5" spans="1:8" x14ac:dyDescent="0.25">
      <c r="A5" s="101" t="s">
        <v>324</v>
      </c>
      <c r="B5" s="106">
        <v>78</v>
      </c>
      <c r="C5" s="107">
        <v>79</v>
      </c>
      <c r="D5" s="107">
        <v>66</v>
      </c>
      <c r="E5" s="107">
        <v>89</v>
      </c>
      <c r="F5" s="104">
        <v>400</v>
      </c>
      <c r="G5" s="104">
        <f t="shared" ref="G5:G7" si="0">B5+C5+D5+E5</f>
        <v>312</v>
      </c>
      <c r="H5" s="105">
        <f t="shared" ref="H5:H7" si="1">G5/F5</f>
        <v>0.78</v>
      </c>
    </row>
    <row r="6" spans="1:8" x14ac:dyDescent="0.25">
      <c r="A6" s="101" t="s">
        <v>330</v>
      </c>
      <c r="B6" s="106">
        <v>96</v>
      </c>
      <c r="C6" s="107">
        <v>66</v>
      </c>
      <c r="D6" s="107">
        <v>56</v>
      </c>
      <c r="E6" s="107">
        <v>91</v>
      </c>
      <c r="F6" s="104">
        <v>400</v>
      </c>
      <c r="G6" s="104">
        <f t="shared" si="0"/>
        <v>309</v>
      </c>
      <c r="H6" s="105">
        <f t="shared" si="1"/>
        <v>0.77249999999999996</v>
      </c>
    </row>
    <row r="7" spans="1:8" ht="15.75" thickBot="1" x14ac:dyDescent="0.3">
      <c r="A7" s="102" t="s">
        <v>325</v>
      </c>
      <c r="B7" s="108">
        <v>56</v>
      </c>
      <c r="C7" s="109">
        <v>80</v>
      </c>
      <c r="D7" s="109">
        <v>55</v>
      </c>
      <c r="E7" s="109">
        <v>88</v>
      </c>
      <c r="F7" s="110">
        <v>400</v>
      </c>
      <c r="G7" s="110">
        <f t="shared" si="0"/>
        <v>279</v>
      </c>
      <c r="H7" s="111">
        <f t="shared" si="1"/>
        <v>0.69750000000000001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22DE6-B6B2-4F42-B40C-88551120F06D}">
  <dimension ref="A1:H7"/>
  <sheetViews>
    <sheetView workbookViewId="0">
      <selection activeCell="D14" sqref="D14"/>
    </sheetView>
  </sheetViews>
  <sheetFormatPr defaultRowHeight="15" x14ac:dyDescent="0.25"/>
  <cols>
    <col min="1" max="1" width="10.85546875" bestFit="1" customWidth="1"/>
    <col min="3" max="3" width="10.7109375" customWidth="1"/>
    <col min="4" max="4" width="9.42578125" customWidth="1"/>
    <col min="6" max="6" width="15" customWidth="1"/>
    <col min="7" max="7" width="19.28515625" customWidth="1"/>
    <col min="8" max="8" width="15.42578125" customWidth="1"/>
  </cols>
  <sheetData>
    <row r="1" spans="1:8" ht="15.75" thickBot="1" x14ac:dyDescent="0.3"/>
    <row r="2" spans="1:8" ht="24" thickBot="1" x14ac:dyDescent="0.4">
      <c r="A2" s="120"/>
      <c r="B2" s="121"/>
      <c r="C2" s="121"/>
      <c r="D2" s="123" t="s">
        <v>334</v>
      </c>
      <c r="E2" s="123"/>
      <c r="F2" s="123"/>
      <c r="G2" s="121"/>
      <c r="H2" s="122"/>
    </row>
    <row r="3" spans="1:8" ht="15.75" thickBot="1" x14ac:dyDescent="0.3">
      <c r="A3" s="96" t="s">
        <v>201</v>
      </c>
      <c r="B3" s="116" t="s">
        <v>327</v>
      </c>
      <c r="C3" s="98" t="s">
        <v>326</v>
      </c>
      <c r="D3" s="98" t="s">
        <v>328</v>
      </c>
      <c r="E3" s="98" t="s">
        <v>331</v>
      </c>
      <c r="F3" s="98" t="s">
        <v>329</v>
      </c>
      <c r="G3" s="98" t="s">
        <v>332</v>
      </c>
      <c r="H3" s="99" t="s">
        <v>333</v>
      </c>
    </row>
    <row r="4" spans="1:8" x14ac:dyDescent="0.25">
      <c r="A4" s="117" t="s">
        <v>323</v>
      </c>
      <c r="B4" s="103">
        <v>67</v>
      </c>
      <c r="C4" s="104">
        <v>99</v>
      </c>
      <c r="D4" s="104">
        <v>77</v>
      </c>
      <c r="E4" s="104">
        <v>95</v>
      </c>
      <c r="F4" s="104">
        <v>400</v>
      </c>
      <c r="G4" s="104">
        <f>B4+C4+D4+E4</f>
        <v>338</v>
      </c>
      <c r="H4" s="105">
        <f>G4/F4</f>
        <v>0.84499999999999997</v>
      </c>
    </row>
    <row r="5" spans="1:8" x14ac:dyDescent="0.25">
      <c r="A5" s="118" t="s">
        <v>324</v>
      </c>
      <c r="B5" s="106">
        <v>78</v>
      </c>
      <c r="C5" s="107">
        <v>79</v>
      </c>
      <c r="D5" s="107">
        <v>66</v>
      </c>
      <c r="E5" s="107">
        <v>89</v>
      </c>
      <c r="F5" s="104">
        <v>400</v>
      </c>
      <c r="G5" s="104">
        <f t="shared" ref="G5:G7" si="0">B5+C5+D5+E5</f>
        <v>312</v>
      </c>
      <c r="H5" s="105">
        <f t="shared" ref="H5:H7" si="1">G5/F5</f>
        <v>0.78</v>
      </c>
    </row>
    <row r="6" spans="1:8" x14ac:dyDescent="0.25">
      <c r="A6" s="118" t="s">
        <v>330</v>
      </c>
      <c r="B6" s="106">
        <v>96</v>
      </c>
      <c r="C6" s="107">
        <v>66</v>
      </c>
      <c r="D6" s="107">
        <v>56</v>
      </c>
      <c r="E6" s="107">
        <v>91</v>
      </c>
      <c r="F6" s="104">
        <v>400</v>
      </c>
      <c r="G6" s="104">
        <f t="shared" si="0"/>
        <v>309</v>
      </c>
      <c r="H6" s="105">
        <f t="shared" si="1"/>
        <v>0.77249999999999996</v>
      </c>
    </row>
    <row r="7" spans="1:8" ht="15.75" thickBot="1" x14ac:dyDescent="0.3">
      <c r="A7" s="119" t="s">
        <v>325</v>
      </c>
      <c r="B7" s="108">
        <v>56</v>
      </c>
      <c r="C7" s="109">
        <v>80</v>
      </c>
      <c r="D7" s="109">
        <v>55</v>
      </c>
      <c r="E7" s="109">
        <v>88</v>
      </c>
      <c r="F7" s="110">
        <v>400</v>
      </c>
      <c r="G7" s="110">
        <f t="shared" si="0"/>
        <v>279</v>
      </c>
      <c r="H7" s="111">
        <f t="shared" si="1"/>
        <v>0.69750000000000001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AA3C3-A87C-4EB1-B0EF-51A04D29B28E}">
  <dimension ref="A1:H10"/>
  <sheetViews>
    <sheetView workbookViewId="0">
      <selection activeCell="C11" sqref="C11"/>
    </sheetView>
  </sheetViews>
  <sheetFormatPr defaultRowHeight="15" x14ac:dyDescent="0.25"/>
  <cols>
    <col min="1" max="1" width="10.85546875" bestFit="1" customWidth="1"/>
    <col min="3" max="3" width="10.7109375" customWidth="1"/>
    <col min="4" max="4" width="9.42578125" customWidth="1"/>
    <col min="6" max="6" width="15" customWidth="1"/>
    <col min="7" max="7" width="19.28515625" customWidth="1"/>
    <col min="8" max="8" width="15.42578125" customWidth="1"/>
  </cols>
  <sheetData>
    <row r="1" spans="1:8" ht="15.75" thickBot="1" x14ac:dyDescent="0.3"/>
    <row r="2" spans="1:8" ht="24" thickBot="1" x14ac:dyDescent="0.4">
      <c r="A2" s="120"/>
      <c r="B2" s="121"/>
      <c r="C2" s="121"/>
      <c r="D2" s="123" t="s">
        <v>334</v>
      </c>
      <c r="E2" s="123"/>
      <c r="F2" s="123"/>
      <c r="G2" s="121"/>
      <c r="H2" s="122"/>
    </row>
    <row r="3" spans="1:8" ht="15.75" thickBot="1" x14ac:dyDescent="0.3">
      <c r="A3" s="96" t="s">
        <v>201</v>
      </c>
      <c r="B3" s="116" t="s">
        <v>327</v>
      </c>
      <c r="C3" s="98" t="s">
        <v>326</v>
      </c>
      <c r="D3" s="98" t="s">
        <v>328</v>
      </c>
      <c r="E3" s="98" t="s">
        <v>331</v>
      </c>
      <c r="F3" s="98" t="s">
        <v>329</v>
      </c>
      <c r="G3" s="98" t="s">
        <v>332</v>
      </c>
      <c r="H3" s="99" t="s">
        <v>333</v>
      </c>
    </row>
    <row r="4" spans="1:8" x14ac:dyDescent="0.25">
      <c r="A4" s="117" t="s">
        <v>323</v>
      </c>
      <c r="B4" s="103">
        <v>67</v>
      </c>
      <c r="C4" s="104">
        <v>99</v>
      </c>
      <c r="D4" s="104">
        <v>77</v>
      </c>
      <c r="E4" s="104">
        <v>95</v>
      </c>
      <c r="F4" s="104">
        <v>400</v>
      </c>
      <c r="G4" s="104">
        <f>B4+C4+D4+E4</f>
        <v>338</v>
      </c>
      <c r="H4" s="105">
        <f>G4/F4</f>
        <v>0.84499999999999997</v>
      </c>
    </row>
    <row r="5" spans="1:8" x14ac:dyDescent="0.25">
      <c r="A5" s="118" t="s">
        <v>324</v>
      </c>
      <c r="B5" s="106">
        <v>78</v>
      </c>
      <c r="C5" s="107">
        <v>79</v>
      </c>
      <c r="D5" s="107">
        <v>66</v>
      </c>
      <c r="E5" s="107">
        <v>89</v>
      </c>
      <c r="F5" s="104">
        <v>400</v>
      </c>
      <c r="G5" s="104">
        <f t="shared" ref="G5:G7" si="0">B5+C5+D5+E5</f>
        <v>312</v>
      </c>
      <c r="H5" s="105">
        <f t="shared" ref="H5:H7" si="1">G5/F5</f>
        <v>0.78</v>
      </c>
    </row>
    <row r="6" spans="1:8" x14ac:dyDescent="0.25">
      <c r="A6" s="118" t="s">
        <v>330</v>
      </c>
      <c r="B6" s="106">
        <v>96</v>
      </c>
      <c r="C6" s="107">
        <v>66</v>
      </c>
      <c r="D6" s="107">
        <v>56</v>
      </c>
      <c r="E6" s="107">
        <v>91</v>
      </c>
      <c r="F6" s="104">
        <v>400</v>
      </c>
      <c r="G6" s="104">
        <f t="shared" si="0"/>
        <v>309</v>
      </c>
      <c r="H6" s="105">
        <f t="shared" si="1"/>
        <v>0.77249999999999996</v>
      </c>
    </row>
    <row r="7" spans="1:8" ht="15.75" thickBot="1" x14ac:dyDescent="0.3">
      <c r="A7" s="119" t="s">
        <v>325</v>
      </c>
      <c r="B7" s="108">
        <v>56</v>
      </c>
      <c r="C7" s="109">
        <v>80</v>
      </c>
      <c r="D7" s="109">
        <v>55</v>
      </c>
      <c r="E7" s="109">
        <v>88</v>
      </c>
      <c r="F7" s="110">
        <v>400</v>
      </c>
      <c r="G7" s="110">
        <f t="shared" si="0"/>
        <v>279</v>
      </c>
      <c r="H7" s="111">
        <f t="shared" si="1"/>
        <v>0.69750000000000001</v>
      </c>
    </row>
    <row r="10" spans="1:8" x14ac:dyDescent="0.25">
      <c r="C10" t="s">
        <v>335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Salary Data</vt:lpstr>
      <vt:lpstr>1</vt:lpstr>
      <vt:lpstr>2</vt:lpstr>
      <vt:lpstr>3</vt:lpstr>
      <vt:lpstr>4</vt:lpstr>
      <vt:lpstr>5</vt:lpstr>
      <vt:lpstr>6</vt:lpstr>
      <vt:lpstr>Dashboard</vt:lpstr>
      <vt:lpstr>Formula Refrencing</vt:lpstr>
      <vt:lpstr>Name Ranges</vt:lpstr>
      <vt:lpstr>Date &amp; Text Function</vt:lpstr>
      <vt:lpstr>References Function</vt:lpstr>
      <vt:lpstr>Logical Functions</vt:lpstr>
      <vt:lpstr>Data Validation</vt:lpstr>
      <vt:lpstr>Protecting Sheet</vt:lpstr>
      <vt:lpstr>Macros</vt:lpstr>
      <vt:lpstr>Macros 2</vt:lpstr>
      <vt:lpstr>Macros 3</vt:lpstr>
      <vt:lpstr>Age</vt:lpstr>
      <vt:lpstr>Age_Group</vt:lpstr>
      <vt:lpstr>Education_Level</vt:lpstr>
      <vt:lpstr>EMP.ID</vt:lpstr>
      <vt:lpstr>Gender</vt:lpstr>
      <vt:lpstr>Job_Title</vt:lpstr>
      <vt:lpstr>Level</vt:lpstr>
      <vt:lpstr>Salary</vt:lpstr>
      <vt:lpstr>Years_of_Experience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IT-VEDANT</dc:creator>
  <cp:lastModifiedBy>iqra dalvi</cp:lastModifiedBy>
  <dcterms:created xsi:type="dcterms:W3CDTF">2023-05-22T06:55:06Z</dcterms:created>
  <dcterms:modified xsi:type="dcterms:W3CDTF">2023-12-23T17:37:16Z</dcterms:modified>
</cp:coreProperties>
</file>